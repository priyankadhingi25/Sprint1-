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thi\Downloads\"/>
    </mc:Choice>
  </mc:AlternateContent>
  <xr:revisionPtr revIDLastSave="0" documentId="13_ncr:1_{EEE95A8D-D876-4729-929A-D81943130B7B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6" r:id="rId6"/>
  </sheets>
  <definedNames>
    <definedName name="_xlnm._FilterDatabase" localSheetId="2" hidden="1">TestCase!$A$1:$J$37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6" l="1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C45" i="6" s="1"/>
  <c r="G9" i="6"/>
  <c r="G8" i="6"/>
  <c r="G7" i="6"/>
  <c r="G6" i="6"/>
  <c r="G5" i="6"/>
  <c r="B29" i="5"/>
  <c r="B28" i="5"/>
  <c r="B27" i="5"/>
  <c r="B26" i="5"/>
  <c r="B25" i="5"/>
  <c r="B19" i="5"/>
  <c r="B18" i="5"/>
  <c r="B17" i="5"/>
  <c r="B21" i="5" s="1"/>
  <c r="B16" i="5"/>
  <c r="B20" i="5" s="1"/>
  <c r="B15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D11" i="5" s="1"/>
  <c r="C3" i="5"/>
  <c r="C11" i="5" s="1"/>
  <c r="B3" i="5"/>
  <c r="B11" i="5" s="1"/>
  <c r="C44" i="6" l="1"/>
</calcChain>
</file>

<file path=xl/sharedStrings.xml><?xml version="1.0" encoding="utf-8"?>
<sst xmlns="http://schemas.openxmlformats.org/spreadsheetml/2006/main" count="815" uniqueCount="458">
  <si>
    <t>Test Plan ID</t>
  </si>
  <si>
    <t>Adactin_Hotel_App_01</t>
  </si>
  <si>
    <t>Application Name</t>
  </si>
  <si>
    <t>Adactin Hotel App (Hotel Reservation System)</t>
  </si>
  <si>
    <t>Application URL</t>
  </si>
  <si>
    <t>http://adactinhotelapp.com/</t>
  </si>
  <si>
    <t>Build Under Test</t>
  </si>
  <si>
    <t>Build 1 (developed with known defects, as stated on the application login page)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</si>
  <si>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</si>
  <si>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</si>
  <si>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</si>
  <si>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</si>
  <si>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</si>
  <si>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</si>
  <si>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</si>
  <si>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Login, Forgot Password, Search Hotel, Select Hotel, Book a Hotel, Booking Confirmation, Booked Itinerary, Logout, Security (HTTP/HTTPS)</t>
  </si>
  <si>
    <t>Out of Scope</t>
  </si>
  <si>
    <t>New User Registration, Adactin mobile apps (iOS/Android), Performance and load testing, Build 2</t>
  </si>
  <si>
    <t>Test Objectives</t>
  </si>
  <si>
    <t>Verify that the hotel booking flow (login &gt; search &gt; select &gt; book &gt; confirm &gt; itinerary &gt; logout) works correctly and identify defects in Build 1.</t>
  </si>
  <si>
    <t>Test Environment</t>
  </si>
  <si>
    <t>Windows 11, Google Chrome, Internet</t>
  </si>
  <si>
    <t>Entry Criteria</t>
  </si>
  <si>
    <t>Application URL is accessible, test environment is ready, and a registered user account is available.</t>
  </si>
  <si>
    <t>Exit Criteria</t>
  </si>
  <si>
    <t>All planned test cases are executed and all critical/high defects are reported and tracked.</t>
  </si>
  <si>
    <t>Test Deliverables</t>
  </si>
  <si>
    <t>Test Plan, Test Scenarios, Test Cases, RTM, Defect Report, Test Summary Report.</t>
  </si>
  <si>
    <t>Risks</t>
  </si>
  <si>
    <t>Website may become unavailable; the application uses HTTP and shared demo data.</t>
  </si>
  <si>
    <t>Mitigation</t>
  </si>
  <si>
    <t>Check the website before testing and continue testing when it becomes available.</t>
  </si>
  <si>
    <t>Prepared By</t>
  </si>
  <si>
    <t>S.No</t>
  </si>
  <si>
    <t>Module</t>
  </si>
  <si>
    <t>Test Scenario</t>
  </si>
  <si>
    <t>Login</t>
  </si>
  <si>
    <t>Verify that the user can log in successfully using valid username and password.</t>
  </si>
  <si>
    <t>Verify that an error message is displayed when an invalid username and password are entered.</t>
  </si>
  <si>
    <t>Verify that login fails with a valid username and an invalid password.</t>
  </si>
  <si>
    <t>Verify that login fails when the Username field is left blank.</t>
  </si>
  <si>
    <t>Verify that login fails when the Password field is left blank.</t>
  </si>
  <si>
    <t>Verify that the Password field masks the entered characters.</t>
  </si>
  <si>
    <t>Verify that the Forgot Password link opens the Forgot Password page.</t>
  </si>
  <si>
    <t>Security</t>
  </si>
  <si>
    <t>Verify that the application is accessed over a secure connection (HTTPS).</t>
  </si>
  <si>
    <t>Verify that the account is locked or restricted after multiple failed login attempts.</t>
  </si>
  <si>
    <t>Search Hotel</t>
  </si>
  <si>
    <t>Verify that the Search Hotel page opens with all search fields after login.</t>
  </si>
  <si>
    <t>Verify that hotels are searched successfully with valid search details.</t>
  </si>
  <si>
    <t>Verify that a validation message is displayed when Location is not selected.</t>
  </si>
  <si>
    <t>Verify that the Hotels dropdown shows hotels based on the selected Location.</t>
  </si>
  <si>
    <t>Verify that the application does not allow a Check Out date earlier than the Check In date.</t>
  </si>
  <si>
    <t>Verify that the application does not allow a Check In date in the past.</t>
  </si>
  <si>
    <t>Verify that the Reset button clears all entered search details.</t>
  </si>
  <si>
    <t>Verify that the Number of Rooms selection is reflected in the booking.</t>
  </si>
  <si>
    <t>Select Hotel</t>
  </si>
  <si>
    <t>Verify that the Select Hotel page shows hotel name, location, rooms, dates, price per night and total price.</t>
  </si>
  <si>
    <t>Verify that a message is displayed when Continue is clicked without selecting a hotel.</t>
  </si>
  <si>
    <t>Verify that the user can select a hotel and continue to the Book A Hotel page.</t>
  </si>
  <si>
    <t>Book Hotel</t>
  </si>
  <si>
    <t>Verify that the Book A Hotel page shows the correct hotel and price details selected by the user.</t>
  </si>
  <si>
    <t>Verify that a hotel is booked successfully with valid booking details.</t>
  </si>
  <si>
    <t>Verify that a validation message is displayed when all booking fields are left blank.</t>
  </si>
  <si>
    <t>Verify that First Name is mandatory on the Book A Hotel page.</t>
  </si>
  <si>
    <t>Verify that Last Name is mandatory on the Book A Hotel page.</t>
  </si>
  <si>
    <t>Verify that Billing Address is mandatory on the Book A Hotel page.</t>
  </si>
  <si>
    <t>Verify that a 16-digit credit card number is required.</t>
  </si>
  <si>
    <t>Verify that Credit Card Type, Expiry Date and CVV are mandatory.</t>
  </si>
  <si>
    <t>Verify that the Cancel button on the Book A Hotel page works correctly.</t>
  </si>
  <si>
    <t>Booking Confirmation</t>
  </si>
  <si>
    <t>Verify that the Booking Confirmation page shows the Order No. and booking details after a successful booking.</t>
  </si>
  <si>
    <t>Verify that a booking confirmation email is sent after a successful booking.</t>
  </si>
  <si>
    <t>Booked Itinerary</t>
  </si>
  <si>
    <t>Verify that the booked itinerary can be viewed and searched by Order No.</t>
  </si>
  <si>
    <t>Verify that a booked itinerary can be cancelled.</t>
  </si>
  <si>
    <t>Verify that the user can update or modify an existing booked itinerary.</t>
  </si>
  <si>
    <t>Logout</t>
  </si>
  <si>
    <t>Verify that the user can log out successfully.</t>
  </si>
  <si>
    <t>Verify that the user cannot access Search Hotel page using the browser Back button after logout.</t>
  </si>
  <si>
    <t>Test Case ID</t>
  </si>
  <si>
    <t>Test Steps</t>
  </si>
  <si>
    <t>Test Data</t>
  </si>
  <si>
    <t>Expected Result</t>
  </si>
  <si>
    <t>Actual Result</t>
  </si>
  <si>
    <t>Status</t>
  </si>
  <si>
    <t>Bug ID</t>
  </si>
  <si>
    <t>TC_001</t>
  </si>
  <si>
    <t>1. Open http://adactinhotelapp.com/.
2. Enter username.
3. Enter password.
4. Click Login.</t>
  </si>
  <si>
    <t>Username: &lt;your registered username&gt;
Password: &lt;your password&gt;</t>
  </si>
  <si>
    <t>User should log in and the Search Hotel page should open.</t>
  </si>
  <si>
    <t>User was logged in and the Search Hotel page was displayed.</t>
  </si>
  <si>
    <t>Pass</t>
  </si>
  <si>
    <t>TC_002</t>
  </si>
  <si>
    <t>1. Open the application.
2. Enter invalid username.
3. Enter invalid password.
4. Click Login.</t>
  </si>
  <si>
    <t>Username: wrong_user
Password: wrong123</t>
  </si>
  <si>
    <t>Error message "Invalid Login details or Your Password might have expired" should be displayed.</t>
  </si>
  <si>
    <t>Error message was displayed and the user was not logged in.</t>
  </si>
  <si>
    <t>TC_003</t>
  </si>
  <si>
    <t>1. Open the application.
2. Enter valid username.
3. Enter wrong password.
4. Click Login.</t>
  </si>
  <si>
    <t>Username: &lt;your registered username&gt;
Password: wrong123</t>
  </si>
  <si>
    <t>Invalid login error message should be displayed.</t>
  </si>
  <si>
    <t>Invalid login error message was displayed.</t>
  </si>
  <si>
    <t>TC_004</t>
  </si>
  <si>
    <t>1. Open the application.
2. Leave Username blank.
3. Enter password.
4. Click Login.</t>
  </si>
  <si>
    <t>Username: Blank
Password: &lt;your password&gt;</t>
  </si>
  <si>
    <t>User should not log in and an error message should be displayed.</t>
  </si>
  <si>
    <t>Error message was displayed and the user stayed on the Login page.</t>
  </si>
  <si>
    <t>TC_005</t>
  </si>
  <si>
    <t>1. Open the application.
2. Enter username.
3. Leave Password blank.
4. Click Login.</t>
  </si>
  <si>
    <t>Username: &lt;your registered username&gt;
Password: Blank</t>
  </si>
  <si>
    <t>TC_006</t>
  </si>
  <si>
    <t>1. Open the application.
2. Type text in the Password field.</t>
  </si>
  <si>
    <t>Password: &lt;your password&gt;</t>
  </si>
  <si>
    <t>Password characters should be masked (shown as dots).</t>
  </si>
  <si>
    <t>Password characters were masked.</t>
  </si>
  <si>
    <t>TC_007</t>
  </si>
  <si>
    <t>1. Open the application.
2. Click "Forgot Password?".</t>
  </si>
  <si>
    <t>N/A</t>
  </si>
  <si>
    <t>Forgot Password page should open.</t>
  </si>
  <si>
    <t>Forgot Password page was displayed.</t>
  </si>
  <si>
    <t>TC_008</t>
  </si>
  <si>
    <t>1. Open http://adactinhotelapp.com/.
2. Check the browser address bar.
3. Observe the Login page.</t>
  </si>
  <si>
    <t>URL: http://adactinhotelapp.com/</t>
  </si>
  <si>
    <t>Application should use HTTPS and the browser should show a secure connection while credentials are entered.</t>
  </si>
  <si>
    <t>Application runs on HTTP; browser shows "Not secure" on the Login page.</t>
  </si>
  <si>
    <t>Fail</t>
  </si>
  <si>
    <t>BUG_001</t>
  </si>
  <si>
    <t>TC_009</t>
  </si>
  <si>
    <t>1. Open the application.
2. Enter valid username with a wrong password.
3. Click Login.
4. Repeat steps 2-3 five times.
5. Enter the correct password and click Login.</t>
  </si>
  <si>
    <t>Username: &lt;your registered username&gt;
Password: wrong123 (x5), then correct password</t>
  </si>
  <si>
    <t>Account should be temporarily locked or a limit on failed attempts should apply.</t>
  </si>
  <si>
    <t>Login succeeded with the correct password after 5 failed attempts; no lockout or limit applied.</t>
  </si>
  <si>
    <t>BUG_002</t>
  </si>
  <si>
    <t>TC_010</t>
  </si>
  <si>
    <t>1. Login with valid credentials.
2. Check the Search Hotel page.</t>
  </si>
  <si>
    <t>Location, Hotels, Room Type, Number of Rooms, Check In Date, Check Out Date, Adults per Room and Children per Room fields should be displayed.</t>
  </si>
  <si>
    <t>All search fields were displayed.</t>
  </si>
  <si>
    <t>TC_011</t>
  </si>
  <si>
    <t>1. Login.
2. Select Location.
3. Select Hotels, Room Type, Number of Rooms.
4. Enter valid Check In and Check Out dates.
5. Select Adults per Room.
6. Click Search.</t>
  </si>
  <si>
    <t>Location: Sydney
Hotels: Hotel Creek
Room Type: Standard
Rooms: 1
Check In: today
Check Out: tomorrow
Adults: 2</t>
  </si>
  <si>
    <t>Select Hotel page should open with matching hotel results.</t>
  </si>
  <si>
    <t>Select Hotel page opened with matching hotel results.</t>
  </si>
  <si>
    <t>TC_012</t>
  </si>
  <si>
    <t>1. Login.
2. Do not select Location.
3. Click Search.</t>
  </si>
  <si>
    <t>Location: --Select Location--</t>
  </si>
  <si>
    <t>Message "Please Select a Location" should be displayed.</t>
  </si>
  <si>
    <t>Message "Please Select a Location" was displayed.</t>
  </si>
  <si>
    <t>TC_013</t>
  </si>
  <si>
    <t>1. Login.
2. Select Location Sydney.
3. Check the Hotels dropdown.</t>
  </si>
  <si>
    <t>Location: Sydney</t>
  </si>
  <si>
    <t>Only hotels available in the selected location should be listed.</t>
  </si>
  <si>
    <t>Hotels list changed according to the selected location.</t>
  </si>
  <si>
    <t>TC_014</t>
  </si>
  <si>
    <t>1. Login.
2. Select Location.
3. Enter Check In date as a later date.
4. Enter Check Out date as an earlier date.
5. Click Search.</t>
  </si>
  <si>
    <t>Check In: 20/12/2026
Check Out: 15/12/2026</t>
  </si>
  <si>
    <t>Error message "Check-In Date shall be before than Check-Out Date" should be displayed.</t>
  </si>
  <si>
    <t>Search was accepted and hotel results were displayed for the invalid date range.</t>
  </si>
  <si>
    <t>BUG_003</t>
  </si>
  <si>
    <t>TC_015</t>
  </si>
  <si>
    <t>1. Login.
2. Select Location.
3. Enter a past Check In date.
4. Enter a valid Check Out date.
5. Click Search.</t>
  </si>
  <si>
    <t>Check In: 01/01/2020
Check Out: tomorrow</t>
  </si>
  <si>
    <t>Error message "Check-In Date should be either Today or Later Date" should be displayed.</t>
  </si>
  <si>
    <t>Search was accepted and hotel results were displayed for the past date.</t>
  </si>
  <si>
    <t>BUG_004</t>
  </si>
  <si>
    <t>TC_016</t>
  </si>
  <si>
    <t>1. Login.
2. Fill in the search fields.
3. Click Reset.</t>
  </si>
  <si>
    <t>Location: Sydney
Hotels: Hotel Creek</t>
  </si>
  <si>
    <t>All fields should return to their default values.</t>
  </si>
  <si>
    <t>All fields were reset to default values.</t>
  </si>
  <si>
    <t>TC_017</t>
  </si>
  <si>
    <t>1. Login.
2. Search with Number of Rooms = 2.
3. Select a hotel and continue.
4. Check the Book A Hotel page.</t>
  </si>
  <si>
    <t>Rooms: 2</t>
  </si>
  <si>
    <t>Rooms count should be 2 on the Book A Hotel page.</t>
  </si>
  <si>
    <t>Rooms count was 2 on the Book A Hotel page.</t>
  </si>
  <si>
    <t>TC_018</t>
  </si>
  <si>
    <t>1. Login.
2. Search for a hotel with valid details.
3. Check the Select Hotel page.</t>
  </si>
  <si>
    <t>Hotel details, price per night and total price should be displayed correctly.</t>
  </si>
  <si>
    <t>All hotel details and prices were displayed.</t>
  </si>
  <si>
    <t>TC_019</t>
  </si>
  <si>
    <t>1. Login.
2. Search for a hotel.
3. On Select Hotel page, click Continue without selecting a hotel.</t>
  </si>
  <si>
    <t>No hotel selected</t>
  </si>
  <si>
    <t>Message "Please Select a Hotel" should be displayed.</t>
  </si>
  <si>
    <t>Message "Please Select a Hotel" was displayed.</t>
  </si>
  <si>
    <t>TC_020</t>
  </si>
  <si>
    <t>1. Login.
2. Search for a hotel.
3. Select the hotel radio button.
4. Click Continue.</t>
  </si>
  <si>
    <t>Hotel: Hotel Creek</t>
  </si>
  <si>
    <t>Book A Hotel page should open.</t>
  </si>
  <si>
    <t>Book A Hotel page was displayed.</t>
  </si>
  <si>
    <t>TC_021</t>
  </si>
  <si>
    <t>1. Login.
2. Search and select a hotel.
3. Check the Book A Hotel page summary.</t>
  </si>
  <si>
    <t>Hotel name, location, room type, dates, price and total should match the Select Hotel page.</t>
  </si>
  <si>
    <t>Booking summary matched the selected hotel details.</t>
  </si>
  <si>
    <t>TC_022</t>
  </si>
  <si>
    <t>1. Login.
2. Search and select a hotel.
3. Enter all booking details.
4. Click Book Now.</t>
  </si>
  <si>
    <t>First Name: John
Last Name: Test
Address: Mumbai
Credit Card No: 1234567890123456
Card Type: VISA
Expiry: January 2030
CVV: 123</t>
  </si>
  <si>
    <t>Booking should be confirmed and the Booking Confirmation page should open with an Order No.</t>
  </si>
  <si>
    <t>Booking was confirmed and an Order No. was generated.</t>
  </si>
  <si>
    <t>TC_023</t>
  </si>
  <si>
    <t>1. Login.
2. Search and select a hotel.
3. Leave all fields blank.
4. Click Book Now.</t>
  </si>
  <si>
    <t>All fields blank</t>
  </si>
  <si>
    <t>Validation messages should be displayed for all mandatory fields.</t>
  </si>
  <si>
    <t>Validation messages were displayed for all mandatory fields.</t>
  </si>
  <si>
    <t>TC_024</t>
  </si>
  <si>
    <t>1. Login.
2. Search and select a hotel.
3. Leave First Name blank and fill other fields.
4. Click Book Now.</t>
  </si>
  <si>
    <t>First Name: Blank</t>
  </si>
  <si>
    <t>Message "Please Enter your First Name" should be displayed.</t>
  </si>
  <si>
    <t>Message "Please Enter your First Name" was displayed.</t>
  </si>
  <si>
    <t>TC_025</t>
  </si>
  <si>
    <t>1. Login.
2. Search and select a hotel.
3. Leave Last Name blank and fill other fields.
4. Click Book Now.</t>
  </si>
  <si>
    <t>Last Name: Blank</t>
  </si>
  <si>
    <t>Message "Please Enter your Last Name" should be displayed.</t>
  </si>
  <si>
    <t>Message "Please Enter your Last Name" was displayed.</t>
  </si>
  <si>
    <t>TC_026</t>
  </si>
  <si>
    <t>1. Login.
2. Search and select a hotel.
3. Leave Billing Address blank and fill other fields.
4. Click Book Now.</t>
  </si>
  <si>
    <t>Billing Address: Blank</t>
  </si>
  <si>
    <t>Message "Please Enter your Address" should be displayed.</t>
  </si>
  <si>
    <t>Message "Please Enter your Address" was displayed.</t>
  </si>
  <si>
    <t>TC_027</t>
  </si>
  <si>
    <t>1. Login.
2. Search and select a hotel.
3. Enter a 10-digit credit card number and fill other fields.
4. Click Book Now.</t>
  </si>
  <si>
    <t>Credit Card No: 1234567890</t>
  </si>
  <si>
    <t>Message "Please Enter your 16 Digit Credit Card Number" should be displayed.</t>
  </si>
  <si>
    <t>Message "Please Enter your 16 Digit Credit Card Number" was displayed.</t>
  </si>
  <si>
    <t>TC_028</t>
  </si>
  <si>
    <t>1. Login.
2. Search and select a hotel.
3. Fill name, address and card number only.
4. Click Book Now.</t>
  </si>
  <si>
    <t>Card Type, Expiry, CVV: not selected / blank</t>
  </si>
  <si>
    <t>Messages for Credit Card Type, Expiry Month and CVV should be displayed.</t>
  </si>
  <si>
    <t>Validation messages were displayed for Card Type, Expiry and CVV.</t>
  </si>
  <si>
    <t>TC_029</t>
  </si>
  <si>
    <t>1. Login.
2. Search and select a hotel.
3. Click Cancel on the Book A Hotel page.</t>
  </si>
  <si>
    <t>Booking should be cancelled and the user should return to the Search Hotel page.</t>
  </si>
  <si>
    <t>User returned to the Search Hotel page.</t>
  </si>
  <si>
    <t>TC_030</t>
  </si>
  <si>
    <t>1. Login.
2. Complete a hotel booking.
3. Check the Booking Confirmation page.</t>
  </si>
  <si>
    <t>Valid booking details</t>
  </si>
  <si>
    <t>Order No., hotel details, dates and total price should be displayed.</t>
  </si>
  <si>
    <t>Order No. and all booking details were displayed.</t>
  </si>
  <si>
    <t>TC_031</t>
  </si>
  <si>
    <t>1. Login with an account that has a valid email.
2. Complete a hotel booking.
3. Check the registered email inbox (including spam).</t>
  </si>
  <si>
    <t>A booking confirmation email should be received.</t>
  </si>
  <si>
    <t>No booking confirmation email was received.</t>
  </si>
  <si>
    <t>BUG_005</t>
  </si>
  <si>
    <t>TC_032</t>
  </si>
  <si>
    <t>1. Login.
2. Complete a booking and note the Order No.
3. Open Booked Itinerary.
4. Search by Order No.</t>
  </si>
  <si>
    <t>Order No.: generated Order No.</t>
  </si>
  <si>
    <t>The booking matching the Order No. should be displayed with correct details.</t>
  </si>
  <si>
    <t>Booking was displayed with correct details.</t>
  </si>
  <si>
    <t>TC_033</t>
  </si>
  <si>
    <t>1. Login.
2. Open Booked Itinerary.
3. Select a booking and click Cancel.
4. Confirm the cancellation.</t>
  </si>
  <si>
    <t>Booking should be cancelled and a cancellation message should be displayed.</t>
  </si>
  <si>
    <t>Booking was cancelled and the cancellation message was displayed.</t>
  </si>
  <si>
    <t>TC_034</t>
  </si>
  <si>
    <t>1. Login.
2. Open Booked Itinerary.
3. Look for an option to edit or update the booking.</t>
  </si>
  <si>
    <t>An option to update the booking (dates, rooms) should be available.</t>
  </si>
  <si>
    <t>No option is available to update an existing booking; only Cancel is provided.</t>
  </si>
  <si>
    <t>BUG_006</t>
  </si>
  <si>
    <t>TC_035</t>
  </si>
  <si>
    <t>1. Login.
2. Click Logout.</t>
  </si>
  <si>
    <t>Message "You have successfully logged out" should be displayed and the Login page link should be available.</t>
  </si>
  <si>
    <t>User was logged out and the logout message was displayed.</t>
  </si>
  <si>
    <t>TC_036</t>
  </si>
  <si>
    <t>1. Login.
2. Click Logout.
3. Click the browser Back button.</t>
  </si>
  <si>
    <t>Session should be invalid and the user should not access the Search Hotel page.</t>
  </si>
  <si>
    <t>User was redirected to the Login page; the session was invalid.</t>
  </si>
  <si>
    <t>Application</t>
  </si>
  <si>
    <t>Adactin Hotel App (Build 1)</t>
  </si>
  <si>
    <t>Environment</t>
  </si>
  <si>
    <t>Windows 11, Google Chrome</t>
  </si>
  <si>
    <t>Bug Summary</t>
  </si>
  <si>
    <t>Application is served over HTTP, not HTTPS; credentials are sent without encryption</t>
  </si>
  <si>
    <t>Steps to Reproduce</t>
  </si>
  <si>
    <t>1. Open http://adactinhotelapp.com/.
2. Observe the URL and the browser security indicator.
3. Login with valid credentials.</t>
  </si>
  <si>
    <t>Application should be served over HTTPS so that credentials and booking data are encrypted.</t>
  </si>
  <si>
    <t>Application is served over HTTP; browser shows "Not secure".</t>
  </si>
  <si>
    <t>Severity</t>
  </si>
  <si>
    <t>High</t>
  </si>
  <si>
    <t>Priority</t>
  </si>
  <si>
    <t xml:space="preserve">Status </t>
  </si>
  <si>
    <t>Open</t>
  </si>
  <si>
    <t>No limit on failed login attempts; account is never locked</t>
  </si>
  <si>
    <t>1. Open the application.
2. Enter a valid username and a wrong password; click Login.
3. Repeat 5 times.
4. Enter the correct password and click Login.</t>
  </si>
  <si>
    <t>Account should be locked or restricted after several failed login attempts.</t>
  </si>
  <si>
    <t>No lockout or limit; login succeeds with the correct password after 5 failed attempts.</t>
  </si>
  <si>
    <t>Search accepts Check Out date earlier than Check In date</t>
  </si>
  <si>
    <t>1. Login.
2. Select a Location.
3. Enter Check In = 20/12/2026 and Check Out = 15/12/2026.
4. Click Search.</t>
  </si>
  <si>
    <t>Error "Check-In Date shall be before than Check-Out Date" should be displayed.</t>
  </si>
  <si>
    <t>Search is accepted and hotel results are displayed.</t>
  </si>
  <si>
    <t>Search accepts a past Check In date</t>
  </si>
  <si>
    <t>1. Login.
2. Select a Location.
3. Enter a past date as Check In (e.g. 01/01/2020) and a valid Check Out date.
4. Click Search.</t>
  </si>
  <si>
    <t>Error "Check-In Date should be either Today or Later Date" should be displayed.</t>
  </si>
  <si>
    <t>Medium</t>
  </si>
  <si>
    <t>No booking confirmation email is sent after a successful booking</t>
  </si>
  <si>
    <t>1. Login with an account that has a valid email.
2. Search, select and book a hotel.
3. Check the registered email inbox and spam folder.</t>
  </si>
  <si>
    <t>A booking confirmation email should be sent after a successful booking.</t>
  </si>
  <si>
    <t>No confirmation email is received.</t>
  </si>
  <si>
    <t>No option to update an existing booked itinerary</t>
  </si>
  <si>
    <t>1. Login.
2. Open Booked Itinerary.
3. Look for an option to update the booking.</t>
  </si>
  <si>
    <t>User should be able to update an existing booking.</t>
  </si>
  <si>
    <t>Only the Cancel option is available; there is no update option.</t>
  </si>
  <si>
    <t>Low</t>
  </si>
  <si>
    <t>Test Cases</t>
  </si>
  <si>
    <t>Passed</t>
  </si>
  <si>
    <t>Failed</t>
  </si>
  <si>
    <t>Total</t>
  </si>
  <si>
    <t>Test Execution Summary</t>
  </si>
  <si>
    <t>Count</t>
  </si>
  <si>
    <t>Total Test Cases</t>
  </si>
  <si>
    <t>Blocked</t>
  </si>
  <si>
    <t>Not Executed</t>
  </si>
  <si>
    <t>Pass Percentage</t>
  </si>
  <si>
    <t>Fail Percentage</t>
  </si>
  <si>
    <t>Defect Summary</t>
  </si>
  <si>
    <t>Total Defects</t>
  </si>
  <si>
    <t>Severity - High</t>
  </si>
  <si>
    <t>Severity - Medium</t>
  </si>
  <si>
    <t>Severity - Low</t>
  </si>
  <si>
    <t>Status - Open</t>
  </si>
  <si>
    <t>Requirements Traceability Matrix (RTM)</t>
  </si>
  <si>
    <t>Application: Adactin Hotel App (Build 1)  |  Prepared By: Rugved Sahane  |  Testing Type: Manual Testing</t>
  </si>
  <si>
    <t>Req ID</t>
  </si>
  <si>
    <t>Requirement Description</t>
  </si>
  <si>
    <t>Test Scenario ID</t>
  </si>
  <si>
    <t>Test Case Description</t>
  </si>
  <si>
    <t>Execution Status</t>
  </si>
  <si>
    <t>REQ-001</t>
  </si>
  <si>
    <t>User must be able to login with valid credentials</t>
  </si>
  <si>
    <t>TS-001</t>
  </si>
  <si>
    <t>Verify the user can log in successfully using valid username and password.</t>
  </si>
  <si>
    <t>REQ-002</t>
  </si>
  <si>
    <t>System must show an error for invalid credentials</t>
  </si>
  <si>
    <t>TS-002</t>
  </si>
  <si>
    <t>Verify an error message is displayed when an invalid username and password are entered.</t>
  </si>
  <si>
    <t>TS-003</t>
  </si>
  <si>
    <t>Verify login fails with a valid username and an invalid password.</t>
  </si>
  <si>
    <t>REQ-003</t>
  </si>
  <si>
    <t>System must show an error for blank Username</t>
  </si>
  <si>
    <t>TS-004</t>
  </si>
  <si>
    <t>Verify login fails when the Username field is left blank.</t>
  </si>
  <si>
    <t>REQ-004</t>
  </si>
  <si>
    <t>System must show an error for blank Password</t>
  </si>
  <si>
    <t>TS-005</t>
  </si>
  <si>
    <t>Verify login fails when the Password field is left blank.</t>
  </si>
  <si>
    <t>REQ-005</t>
  </si>
  <si>
    <t>Password field must mask the entered text</t>
  </si>
  <si>
    <t>TS-006</t>
  </si>
  <si>
    <t>Verify the Password field masks the entered characters.</t>
  </si>
  <si>
    <t>REQ-006</t>
  </si>
  <si>
    <t>Forgot Password link must open the Forgot Password page</t>
  </si>
  <si>
    <t>TS-007</t>
  </si>
  <si>
    <t>Verify the Forgot Password link opens the Forgot Password page.</t>
  </si>
  <si>
    <t>REQ-007</t>
  </si>
  <si>
    <t>Application must be served over HTTPS</t>
  </si>
  <si>
    <t>TS-008</t>
  </si>
  <si>
    <t>Verify the application is accessed over a secure connection (HTTPS).</t>
  </si>
  <si>
    <t>REQ-008</t>
  </si>
  <si>
    <t>Failed login attempts must be limited</t>
  </si>
  <si>
    <t>TS-009</t>
  </si>
  <si>
    <t>Verify the account is locked or restricted after multiple failed login attempts.</t>
  </si>
  <si>
    <t>REQ-009</t>
  </si>
  <si>
    <t>Search Hotel page must display all search fields</t>
  </si>
  <si>
    <t>TS-010</t>
  </si>
  <si>
    <t>Verify the Search Hotel page opens with all search fields after login.</t>
  </si>
  <si>
    <t>REQ-010</t>
  </si>
  <si>
    <t>User must be able to search hotels with valid details</t>
  </si>
  <si>
    <t>TS-011</t>
  </si>
  <si>
    <t>Verify hotels are searched successfully with valid search details.</t>
  </si>
  <si>
    <t>REQ-011</t>
  </si>
  <si>
    <t>Location must be mandatory for search</t>
  </si>
  <si>
    <t>TS-012</t>
  </si>
  <si>
    <t>Verify a validation message is displayed when Location is not selected.</t>
  </si>
  <si>
    <t>REQ-012</t>
  </si>
  <si>
    <t>Hotels must be listed according to the selected Location</t>
  </si>
  <si>
    <t>TS-013</t>
  </si>
  <si>
    <t>Verify the Hotels dropdown shows hotels based on the selected Location.</t>
  </si>
  <si>
    <t>REQ-013</t>
  </si>
  <si>
    <t>Check Out date must not be earlier than Check In date</t>
  </si>
  <si>
    <t>TS-014</t>
  </si>
  <si>
    <t>Verify the application does not allow a Check Out date earlier than the Check In date.</t>
  </si>
  <si>
    <t>REQ-014</t>
  </si>
  <si>
    <t>Check In date must not be in the past</t>
  </si>
  <si>
    <t>TS-015</t>
  </si>
  <si>
    <t>Verify the application does not allow a Check In date in the past.</t>
  </si>
  <si>
    <t>REQ-015</t>
  </si>
  <si>
    <t>Reset must clear all search details</t>
  </si>
  <si>
    <t>TS-016</t>
  </si>
  <si>
    <t>Verify the Reset button clears all entered search details.</t>
  </si>
  <si>
    <t>REQ-016</t>
  </si>
  <si>
    <t>Number of rooms selected must be carried to booking</t>
  </si>
  <si>
    <t>TS-017</t>
  </si>
  <si>
    <t>Verify the Number of Rooms selection is reflected in the booking.</t>
  </si>
  <si>
    <t>REQ-017</t>
  </si>
  <si>
    <t>Select Hotel page must show hotel and price details</t>
  </si>
  <si>
    <t>TS-018</t>
  </si>
  <si>
    <t>Verify the Select Hotel page shows hotel name, location, rooms, dates, price per night and total price.</t>
  </si>
  <si>
    <t>REQ-018</t>
  </si>
  <si>
    <t>User must select a hotel before continuing</t>
  </si>
  <si>
    <t>TS-019</t>
  </si>
  <si>
    <t>Verify a message is displayed when Continue is clicked without selecting a hotel.</t>
  </si>
  <si>
    <t>REQ-019</t>
  </si>
  <si>
    <t>User must be able to continue with a selected hotel</t>
  </si>
  <si>
    <t>TS-020</t>
  </si>
  <si>
    <t>Verify the user can select a hotel and continue to the Book A Hotel page.</t>
  </si>
  <si>
    <t>REQ-020</t>
  </si>
  <si>
    <t>Booking summary must match the selected hotel</t>
  </si>
  <si>
    <t>TS-021</t>
  </si>
  <si>
    <t>Verify the Book A Hotel page shows the correct hotel and price details selected by the user.</t>
  </si>
  <si>
    <t>REQ-021</t>
  </si>
  <si>
    <t>User must be able to book a hotel with valid details</t>
  </si>
  <si>
    <t>TS-022</t>
  </si>
  <si>
    <t>Verify a hotel is booked successfully with valid booking details.</t>
  </si>
  <si>
    <t>REQ-022</t>
  </si>
  <si>
    <t>Mandatory booking fields must be validated</t>
  </si>
  <si>
    <t>TS-023</t>
  </si>
  <si>
    <t>Verify a validation message is displayed when all booking fields are left blank.</t>
  </si>
  <si>
    <t>TS-024</t>
  </si>
  <si>
    <t>Verify First Name is mandatory on the Book A Hotel page.</t>
  </si>
  <si>
    <t>TS-025</t>
  </si>
  <si>
    <t>Verify Last Name is mandatory on the Book A Hotel page.</t>
  </si>
  <si>
    <t>TS-026</t>
  </si>
  <si>
    <t>Verify Billing Address is mandatory on the Book A Hotel page.</t>
  </si>
  <si>
    <t>TS-027</t>
  </si>
  <si>
    <t>Verify a 16-digit credit card number is required.</t>
  </si>
  <si>
    <t>TS-028</t>
  </si>
  <si>
    <t>Verify Credit Card Type, Expiry Date and CVV are mandatory.</t>
  </si>
  <si>
    <t>REQ-023</t>
  </si>
  <si>
    <t>User must be able to cancel the booking process</t>
  </si>
  <si>
    <t>TS-029</t>
  </si>
  <si>
    <t>Verify the Cancel button on the Book A Hotel page works correctly.</t>
  </si>
  <si>
    <t>REQ-024</t>
  </si>
  <si>
    <t>Booking Confirmation must show Order No. and details</t>
  </si>
  <si>
    <t>TS-030</t>
  </si>
  <si>
    <t>Verify the Booking Confirmation page shows the Order No. and booking details after a successful booking.</t>
  </si>
  <si>
    <t>REQ-025</t>
  </si>
  <si>
    <t>Booking confirmation email must be sent</t>
  </si>
  <si>
    <t>TS-031</t>
  </si>
  <si>
    <t>Verify a booking confirmation email is sent after a successful booking.</t>
  </si>
  <si>
    <t>REQ-026</t>
  </si>
  <si>
    <t>User must be able to view booked itinerary by Order No.</t>
  </si>
  <si>
    <t>TS-032</t>
  </si>
  <si>
    <t>Verify the booked itinerary can be viewed and searched by Order No.</t>
  </si>
  <si>
    <t>REQ-027</t>
  </si>
  <si>
    <t>User must be able to cancel a booked itinerary</t>
  </si>
  <si>
    <t>TS-033</t>
  </si>
  <si>
    <t>Verify a booked itinerary can be cancelled.</t>
  </si>
  <si>
    <t>REQ-028</t>
  </si>
  <si>
    <t>User must be able to update a booked itinerary</t>
  </si>
  <si>
    <t>TS-034</t>
  </si>
  <si>
    <t>Verify the user can update or modify an existing booked itinerary.</t>
  </si>
  <si>
    <t>REQ-029</t>
  </si>
  <si>
    <t>User must be able to logout</t>
  </si>
  <si>
    <t>TS-035</t>
  </si>
  <si>
    <t>Verify the user can log out successfully.</t>
  </si>
  <si>
    <t>REQ-030</t>
  </si>
  <si>
    <t>Session must be invalid after logout</t>
  </si>
  <si>
    <t>TS-036</t>
  </si>
  <si>
    <t>Verify the user cannot access Search Hotel page using the browser Back button after logout.</t>
  </si>
  <si>
    <t>priyanka dhingi</t>
  </si>
  <si>
    <t xml:space="preserve">Adactin Hotel 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</si>
</sst>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276221"/>
      <name val="Calibri"/>
      <charset val="1"/>
    </font>
    <font>
      <b/>
      <sz val="11"/>
      <color rgb="FF9C0006"/>
      <name val="Calibri"/>
      <charset val="1"/>
    </font>
    <font>
      <b/>
      <sz val="14"/>
      <color rgb="FFFFFFFF"/>
      <name val="Arial"/>
      <charset val="1"/>
    </font>
    <font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6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activeCell="B1" sqref="B1"/>
    </sheetView>
  </sheetViews>
  <sheetFormatPr defaultColWidth="8.6328125" defaultRowHeight="14.5" x14ac:dyDescent="0.35"/>
  <cols>
    <col min="1" max="1" width="20" customWidth="1"/>
    <col min="2" max="2" width="85" customWidth="1"/>
  </cols>
  <sheetData>
    <row r="1" spans="1:2" x14ac:dyDescent="0.35">
      <c r="A1" s="5" t="s">
        <v>0</v>
      </c>
      <c r="B1" s="6" t="s">
        <v>1</v>
      </c>
    </row>
    <row r="2" spans="1:2" x14ac:dyDescent="0.35">
      <c r="A2" s="5" t="s">
        <v>2</v>
      </c>
      <c r="B2" s="6" t="s">
        <v>3</v>
      </c>
    </row>
    <row r="3" spans="1:2" x14ac:dyDescent="0.35">
      <c r="A3" s="5" t="s">
        <v>4</v>
      </c>
      <c r="B3" s="6" t="s">
        <v>5</v>
      </c>
    </row>
    <row r="4" spans="1:2" x14ac:dyDescent="0.35">
      <c r="A4" s="5" t="s">
        <v>6</v>
      </c>
      <c r="B4" s="6" t="s">
        <v>7</v>
      </c>
    </row>
    <row r="5" spans="1:2" x14ac:dyDescent="0.35">
      <c r="A5" s="5" t="s">
        <v>8</v>
      </c>
      <c r="B5" s="6" t="s">
        <v>9</v>
      </c>
    </row>
    <row r="6" spans="1:2" x14ac:dyDescent="0.35">
      <c r="A6" s="5" t="s">
        <v>10</v>
      </c>
      <c r="B6" s="6" t="s">
        <v>11</v>
      </c>
    </row>
    <row r="7" spans="1:2" x14ac:dyDescent="0.35">
      <c r="A7" s="5" t="s">
        <v>12</v>
      </c>
      <c r="B7" s="6" t="s">
        <v>13</v>
      </c>
    </row>
    <row r="8" spans="1:2" ht="45" customHeight="1" x14ac:dyDescent="0.35">
      <c r="A8" s="5" t="s">
        <v>14</v>
      </c>
      <c r="B8" s="6" t="s">
        <v>15</v>
      </c>
    </row>
    <row r="9" spans="1:2" x14ac:dyDescent="0.35">
      <c r="A9" s="5" t="s">
        <v>16</v>
      </c>
      <c r="B9" s="6" t="s">
        <v>17</v>
      </c>
    </row>
    <row r="10" spans="1:2" ht="45" customHeight="1" x14ac:dyDescent="0.35">
      <c r="A10" s="5" t="s">
        <v>18</v>
      </c>
      <c r="B10" s="6" t="s">
        <v>19</v>
      </c>
    </row>
    <row r="11" spans="1:2" x14ac:dyDescent="0.35">
      <c r="A11" s="5" t="s">
        <v>20</v>
      </c>
      <c r="B11" s="6" t="s">
        <v>21</v>
      </c>
    </row>
    <row r="12" spans="1:2" ht="45" customHeight="1" x14ac:dyDescent="0.35">
      <c r="A12" s="5" t="s">
        <v>22</v>
      </c>
      <c r="B12" s="6" t="s">
        <v>23</v>
      </c>
    </row>
    <row r="13" spans="1:2" ht="45" customHeight="1" x14ac:dyDescent="0.35">
      <c r="A13" s="5" t="s">
        <v>24</v>
      </c>
      <c r="B13" s="6" t="s">
        <v>25</v>
      </c>
    </row>
    <row r="14" spans="1:2" x14ac:dyDescent="0.35">
      <c r="A14" s="5" t="s">
        <v>26</v>
      </c>
      <c r="B14" s="6" t="s">
        <v>27</v>
      </c>
    </row>
    <row r="15" spans="1:2" ht="45" customHeight="1" x14ac:dyDescent="0.35">
      <c r="A15" s="5" t="s">
        <v>28</v>
      </c>
      <c r="B15" s="6" t="s">
        <v>29</v>
      </c>
    </row>
    <row r="16" spans="1:2" x14ac:dyDescent="0.35">
      <c r="A16" s="5" t="s">
        <v>30</v>
      </c>
      <c r="B16" s="6" t="s">
        <v>31</v>
      </c>
    </row>
    <row r="17" spans="1:2" x14ac:dyDescent="0.35">
      <c r="A17" s="5" t="s">
        <v>32</v>
      </c>
      <c r="B17" s="6" t="s">
        <v>456</v>
      </c>
    </row>
    <row r="18" spans="1:2" ht="45" customHeight="1" x14ac:dyDescent="0.35">
      <c r="A18" s="5"/>
      <c r="B1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abSelected="1"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3" width="100" customWidth="1"/>
  </cols>
  <sheetData>
    <row r="1" spans="1:3" x14ac:dyDescent="0.35">
      <c r="A1" s="7" t="s">
        <v>33</v>
      </c>
      <c r="B1" s="7" t="s">
        <v>34</v>
      </c>
      <c r="C1" s="7" t="s">
        <v>35</v>
      </c>
    </row>
    <row r="2" spans="1:3" ht="31.5" customHeight="1" x14ac:dyDescent="0.35">
      <c r="A2" s="8">
        <v>1</v>
      </c>
      <c r="B2" s="6" t="s">
        <v>36</v>
      </c>
      <c r="C2" s="6" t="s">
        <v>37</v>
      </c>
    </row>
    <row r="3" spans="1:3" ht="31.5" customHeight="1" x14ac:dyDescent="0.35">
      <c r="A3" s="8">
        <v>2</v>
      </c>
      <c r="B3" s="6" t="s">
        <v>36</v>
      </c>
      <c r="C3" s="6" t="s">
        <v>38</v>
      </c>
    </row>
    <row r="4" spans="1:3" ht="31.5" customHeight="1" x14ac:dyDescent="0.35">
      <c r="A4" s="8">
        <v>3</v>
      </c>
      <c r="B4" s="6" t="s">
        <v>36</v>
      </c>
      <c r="C4" s="6" t="s">
        <v>39</v>
      </c>
    </row>
    <row r="5" spans="1:3" ht="31.5" customHeight="1" x14ac:dyDescent="0.35">
      <c r="A5" s="8">
        <v>4</v>
      </c>
      <c r="B5" s="6" t="s">
        <v>36</v>
      </c>
      <c r="C5" s="6" t="s">
        <v>40</v>
      </c>
    </row>
    <row r="6" spans="1:3" ht="31.5" customHeight="1" x14ac:dyDescent="0.35">
      <c r="A6" s="8">
        <v>5</v>
      </c>
      <c r="B6" s="6" t="s">
        <v>36</v>
      </c>
      <c r="C6" s="6" t="s">
        <v>41</v>
      </c>
    </row>
    <row r="7" spans="1:3" ht="31.5" customHeight="1" x14ac:dyDescent="0.35">
      <c r="A7" s="8">
        <v>6</v>
      </c>
      <c r="B7" s="6" t="s">
        <v>36</v>
      </c>
      <c r="C7" s="6" t="s">
        <v>42</v>
      </c>
    </row>
    <row r="8" spans="1:3" ht="31.5" customHeight="1" x14ac:dyDescent="0.35">
      <c r="A8" s="8">
        <v>7</v>
      </c>
      <c r="B8" s="6" t="s">
        <v>36</v>
      </c>
      <c r="C8" s="6" t="s">
        <v>43</v>
      </c>
    </row>
    <row r="9" spans="1:3" ht="31.5" customHeight="1" x14ac:dyDescent="0.35">
      <c r="A9" s="8">
        <v>8</v>
      </c>
      <c r="B9" s="6" t="s">
        <v>44</v>
      </c>
      <c r="C9" s="6" t="s">
        <v>45</v>
      </c>
    </row>
    <row r="10" spans="1:3" ht="31.5" customHeight="1" x14ac:dyDescent="0.35">
      <c r="A10" s="8">
        <v>9</v>
      </c>
      <c r="B10" s="6" t="s">
        <v>44</v>
      </c>
      <c r="C10" s="6" t="s">
        <v>46</v>
      </c>
    </row>
    <row r="11" spans="1:3" ht="31.5" customHeight="1" x14ac:dyDescent="0.35">
      <c r="A11" s="8">
        <v>10</v>
      </c>
      <c r="B11" s="6" t="s">
        <v>47</v>
      </c>
      <c r="C11" s="6" t="s">
        <v>48</v>
      </c>
    </row>
    <row r="12" spans="1:3" ht="31.5" customHeight="1" x14ac:dyDescent="0.35">
      <c r="A12" s="8">
        <v>11</v>
      </c>
      <c r="B12" s="6" t="s">
        <v>47</v>
      </c>
      <c r="C12" s="6" t="s">
        <v>49</v>
      </c>
    </row>
    <row r="13" spans="1:3" ht="31.5" customHeight="1" x14ac:dyDescent="0.35">
      <c r="A13" s="8">
        <v>12</v>
      </c>
      <c r="B13" s="6" t="s">
        <v>47</v>
      </c>
      <c r="C13" s="6" t="s">
        <v>50</v>
      </c>
    </row>
    <row r="14" spans="1:3" ht="31.5" customHeight="1" x14ac:dyDescent="0.35">
      <c r="A14" s="8">
        <v>13</v>
      </c>
      <c r="B14" s="6" t="s">
        <v>47</v>
      </c>
      <c r="C14" s="6" t="s">
        <v>51</v>
      </c>
    </row>
    <row r="15" spans="1:3" ht="31.5" customHeight="1" x14ac:dyDescent="0.35">
      <c r="A15" s="8">
        <v>14</v>
      </c>
      <c r="B15" s="6" t="s">
        <v>47</v>
      </c>
      <c r="C15" s="6" t="s">
        <v>52</v>
      </c>
    </row>
    <row r="16" spans="1:3" ht="31.5" customHeight="1" x14ac:dyDescent="0.35">
      <c r="A16" s="8">
        <v>15</v>
      </c>
      <c r="B16" s="6" t="s">
        <v>47</v>
      </c>
      <c r="C16" s="6" t="s">
        <v>53</v>
      </c>
    </row>
    <row r="17" spans="1:3" ht="31.5" customHeight="1" x14ac:dyDescent="0.35">
      <c r="A17" s="8">
        <v>16</v>
      </c>
      <c r="B17" s="6" t="s">
        <v>47</v>
      </c>
      <c r="C17" s="6" t="s">
        <v>54</v>
      </c>
    </row>
    <row r="18" spans="1:3" ht="31.5" customHeight="1" x14ac:dyDescent="0.35">
      <c r="A18" s="8">
        <v>17</v>
      </c>
      <c r="B18" s="6" t="s">
        <v>47</v>
      </c>
      <c r="C18" s="6" t="s">
        <v>55</v>
      </c>
    </row>
    <row r="19" spans="1:3" ht="31.5" customHeight="1" x14ac:dyDescent="0.35">
      <c r="A19" s="8">
        <v>18</v>
      </c>
      <c r="B19" s="6" t="s">
        <v>56</v>
      </c>
      <c r="C19" s="6" t="s">
        <v>57</v>
      </c>
    </row>
    <row r="20" spans="1:3" ht="31.5" customHeight="1" x14ac:dyDescent="0.35">
      <c r="A20" s="8">
        <v>19</v>
      </c>
      <c r="B20" s="6" t="s">
        <v>56</v>
      </c>
      <c r="C20" s="6" t="s">
        <v>58</v>
      </c>
    </row>
    <row r="21" spans="1:3" ht="31.5" customHeight="1" x14ac:dyDescent="0.35">
      <c r="A21" s="8">
        <v>20</v>
      </c>
      <c r="B21" s="6" t="s">
        <v>56</v>
      </c>
      <c r="C21" s="6" t="s">
        <v>59</v>
      </c>
    </row>
    <row r="22" spans="1:3" ht="31.5" customHeight="1" x14ac:dyDescent="0.35">
      <c r="A22" s="8">
        <v>21</v>
      </c>
      <c r="B22" s="6" t="s">
        <v>60</v>
      </c>
      <c r="C22" s="6" t="s">
        <v>61</v>
      </c>
    </row>
    <row r="23" spans="1:3" ht="31.5" customHeight="1" x14ac:dyDescent="0.35">
      <c r="A23" s="8">
        <v>22</v>
      </c>
      <c r="B23" s="6" t="s">
        <v>60</v>
      </c>
      <c r="C23" s="6" t="s">
        <v>62</v>
      </c>
    </row>
    <row r="24" spans="1:3" ht="31.5" customHeight="1" x14ac:dyDescent="0.35">
      <c r="A24" s="8">
        <v>23</v>
      </c>
      <c r="B24" s="6" t="s">
        <v>60</v>
      </c>
      <c r="C24" s="6" t="s">
        <v>63</v>
      </c>
    </row>
    <row r="25" spans="1:3" ht="31.5" customHeight="1" x14ac:dyDescent="0.35">
      <c r="A25" s="8">
        <v>24</v>
      </c>
      <c r="B25" s="6" t="s">
        <v>60</v>
      </c>
      <c r="C25" s="6" t="s">
        <v>64</v>
      </c>
    </row>
    <row r="26" spans="1:3" ht="31.5" customHeight="1" x14ac:dyDescent="0.35">
      <c r="A26" s="8">
        <v>25</v>
      </c>
      <c r="B26" s="6" t="s">
        <v>60</v>
      </c>
      <c r="C26" s="6" t="s">
        <v>65</v>
      </c>
    </row>
    <row r="27" spans="1:3" ht="31.5" customHeight="1" x14ac:dyDescent="0.35">
      <c r="A27" s="8">
        <v>26</v>
      </c>
      <c r="B27" s="6" t="s">
        <v>60</v>
      </c>
      <c r="C27" s="6" t="s">
        <v>66</v>
      </c>
    </row>
    <row r="28" spans="1:3" ht="31.5" customHeight="1" x14ac:dyDescent="0.35">
      <c r="A28" s="8">
        <v>27</v>
      </c>
      <c r="B28" s="6" t="s">
        <v>60</v>
      </c>
      <c r="C28" s="6" t="s">
        <v>67</v>
      </c>
    </row>
    <row r="29" spans="1:3" ht="31.5" customHeight="1" x14ac:dyDescent="0.35">
      <c r="A29" s="8">
        <v>28</v>
      </c>
      <c r="B29" s="6" t="s">
        <v>60</v>
      </c>
      <c r="C29" s="6" t="s">
        <v>68</v>
      </c>
    </row>
    <row r="30" spans="1:3" ht="31.5" customHeight="1" x14ac:dyDescent="0.35">
      <c r="A30" s="8">
        <v>29</v>
      </c>
      <c r="B30" s="6" t="s">
        <v>60</v>
      </c>
      <c r="C30" s="6" t="s">
        <v>69</v>
      </c>
    </row>
    <row r="31" spans="1:3" ht="31.5" customHeight="1" x14ac:dyDescent="0.35">
      <c r="A31" s="8">
        <v>30</v>
      </c>
      <c r="B31" s="6" t="s">
        <v>70</v>
      </c>
      <c r="C31" s="6" t="s">
        <v>71</v>
      </c>
    </row>
    <row r="32" spans="1:3" ht="31.5" customHeight="1" x14ac:dyDescent="0.35">
      <c r="A32" s="8">
        <v>31</v>
      </c>
      <c r="B32" s="6" t="s">
        <v>70</v>
      </c>
      <c r="C32" s="6" t="s">
        <v>72</v>
      </c>
    </row>
    <row r="33" spans="1:3" ht="31.5" customHeight="1" x14ac:dyDescent="0.35">
      <c r="A33" s="8">
        <v>32</v>
      </c>
      <c r="B33" s="6" t="s">
        <v>73</v>
      </c>
      <c r="C33" s="6" t="s">
        <v>74</v>
      </c>
    </row>
    <row r="34" spans="1:3" ht="31.5" customHeight="1" x14ac:dyDescent="0.35">
      <c r="A34" s="8">
        <v>33</v>
      </c>
      <c r="B34" s="6" t="s">
        <v>73</v>
      </c>
      <c r="C34" s="6" t="s">
        <v>75</v>
      </c>
    </row>
    <row r="35" spans="1:3" ht="31.5" customHeight="1" x14ac:dyDescent="0.35">
      <c r="A35" s="8">
        <v>34</v>
      </c>
      <c r="B35" s="6" t="s">
        <v>73</v>
      </c>
      <c r="C35" s="6" t="s">
        <v>76</v>
      </c>
    </row>
    <row r="36" spans="1:3" ht="31.5" customHeight="1" x14ac:dyDescent="0.35">
      <c r="A36" s="8">
        <v>35</v>
      </c>
      <c r="B36" s="6" t="s">
        <v>77</v>
      </c>
      <c r="C36" s="6" t="s">
        <v>78</v>
      </c>
    </row>
    <row r="37" spans="1:3" ht="31.5" customHeight="1" x14ac:dyDescent="0.35">
      <c r="A37" s="8">
        <v>36</v>
      </c>
      <c r="B37" s="6" t="s">
        <v>77</v>
      </c>
      <c r="C37" s="6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zoomScaleNormal="100" workbookViewId="0">
      <pane ySplit="1" topLeftCell="A11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3" customWidth="1"/>
    <col min="3" max="3" width="20" customWidth="1"/>
    <col min="4" max="4" width="55" customWidth="1"/>
    <col min="5" max="5" width="48" customWidth="1"/>
    <col min="6" max="6" width="34" customWidth="1"/>
    <col min="7" max="8" width="45" customWidth="1"/>
    <col min="9" max="9" width="10" customWidth="1"/>
    <col min="10" max="10" width="11" customWidth="1"/>
  </cols>
  <sheetData>
    <row r="1" spans="1:10" x14ac:dyDescent="0.35">
      <c r="A1" s="7" t="s">
        <v>33</v>
      </c>
      <c r="B1" s="7" t="s">
        <v>80</v>
      </c>
      <c r="C1" s="7" t="s">
        <v>34</v>
      </c>
      <c r="D1" s="7" t="s">
        <v>35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</row>
    <row r="2" spans="1:10" ht="75" customHeight="1" x14ac:dyDescent="0.35">
      <c r="A2" s="8">
        <v>1</v>
      </c>
      <c r="B2" s="8" t="s">
        <v>87</v>
      </c>
      <c r="C2" s="6" t="s">
        <v>36</v>
      </c>
      <c r="D2" s="6" t="s">
        <v>37</v>
      </c>
      <c r="E2" s="6" t="s">
        <v>88</v>
      </c>
      <c r="F2" s="6" t="s">
        <v>89</v>
      </c>
      <c r="G2" s="6" t="s">
        <v>90</v>
      </c>
      <c r="H2" s="6" t="s">
        <v>91</v>
      </c>
      <c r="I2" s="9" t="s">
        <v>92</v>
      </c>
      <c r="J2" s="8"/>
    </row>
    <row r="3" spans="1:10" ht="75" customHeight="1" x14ac:dyDescent="0.35">
      <c r="A3" s="8">
        <v>2</v>
      </c>
      <c r="B3" s="8" t="s">
        <v>93</v>
      </c>
      <c r="C3" s="6" t="s">
        <v>36</v>
      </c>
      <c r="D3" s="6" t="s">
        <v>38</v>
      </c>
      <c r="E3" s="6" t="s">
        <v>94</v>
      </c>
      <c r="F3" s="6" t="s">
        <v>95</v>
      </c>
      <c r="G3" s="6" t="s">
        <v>96</v>
      </c>
      <c r="H3" s="6" t="s">
        <v>97</v>
      </c>
      <c r="I3" s="9" t="s">
        <v>92</v>
      </c>
      <c r="J3" s="8"/>
    </row>
    <row r="4" spans="1:10" ht="75" customHeight="1" x14ac:dyDescent="0.35">
      <c r="A4" s="8">
        <v>3</v>
      </c>
      <c r="B4" s="8" t="s">
        <v>98</v>
      </c>
      <c r="C4" s="6" t="s">
        <v>36</v>
      </c>
      <c r="D4" s="6" t="s">
        <v>39</v>
      </c>
      <c r="E4" s="6" t="s">
        <v>99</v>
      </c>
      <c r="F4" s="6" t="s">
        <v>100</v>
      </c>
      <c r="G4" s="6" t="s">
        <v>101</v>
      </c>
      <c r="H4" s="6" t="s">
        <v>102</v>
      </c>
      <c r="I4" s="9" t="s">
        <v>92</v>
      </c>
      <c r="J4" s="8"/>
    </row>
    <row r="5" spans="1:10" ht="75" customHeight="1" x14ac:dyDescent="0.35">
      <c r="A5" s="8">
        <v>4</v>
      </c>
      <c r="B5" s="8" t="s">
        <v>103</v>
      </c>
      <c r="C5" s="6" t="s">
        <v>36</v>
      </c>
      <c r="D5" s="6" t="s">
        <v>40</v>
      </c>
      <c r="E5" s="6" t="s">
        <v>104</v>
      </c>
      <c r="F5" s="6" t="s">
        <v>105</v>
      </c>
      <c r="G5" s="6" t="s">
        <v>106</v>
      </c>
      <c r="H5" s="6" t="s">
        <v>107</v>
      </c>
      <c r="I5" s="9" t="s">
        <v>92</v>
      </c>
      <c r="J5" s="8"/>
    </row>
    <row r="6" spans="1:10" ht="75" customHeight="1" x14ac:dyDescent="0.35">
      <c r="A6" s="8">
        <v>5</v>
      </c>
      <c r="B6" s="8" t="s">
        <v>108</v>
      </c>
      <c r="C6" s="6" t="s">
        <v>36</v>
      </c>
      <c r="D6" s="6" t="s">
        <v>41</v>
      </c>
      <c r="E6" s="6" t="s">
        <v>109</v>
      </c>
      <c r="F6" s="6" t="s">
        <v>110</v>
      </c>
      <c r="G6" s="6" t="s">
        <v>106</v>
      </c>
      <c r="H6" s="6" t="s">
        <v>107</v>
      </c>
      <c r="I6" s="9" t="s">
        <v>92</v>
      </c>
      <c r="J6" s="8"/>
    </row>
    <row r="7" spans="1:10" ht="75" customHeight="1" x14ac:dyDescent="0.35">
      <c r="A7" s="8">
        <v>6</v>
      </c>
      <c r="B7" s="8" t="s">
        <v>111</v>
      </c>
      <c r="C7" s="6" t="s">
        <v>36</v>
      </c>
      <c r="D7" s="6" t="s">
        <v>42</v>
      </c>
      <c r="E7" s="6" t="s">
        <v>112</v>
      </c>
      <c r="F7" s="6" t="s">
        <v>113</v>
      </c>
      <c r="G7" s="6" t="s">
        <v>114</v>
      </c>
      <c r="H7" s="6" t="s">
        <v>115</v>
      </c>
      <c r="I7" s="9" t="s">
        <v>92</v>
      </c>
      <c r="J7" s="8"/>
    </row>
    <row r="8" spans="1:10" ht="75" customHeight="1" x14ac:dyDescent="0.35">
      <c r="A8" s="8">
        <v>7</v>
      </c>
      <c r="B8" s="8" t="s">
        <v>116</v>
      </c>
      <c r="C8" s="6" t="s">
        <v>36</v>
      </c>
      <c r="D8" s="6" t="s">
        <v>43</v>
      </c>
      <c r="E8" s="6" t="s">
        <v>117</v>
      </c>
      <c r="F8" s="6" t="s">
        <v>118</v>
      </c>
      <c r="G8" s="6" t="s">
        <v>119</v>
      </c>
      <c r="H8" s="6" t="s">
        <v>120</v>
      </c>
      <c r="I8" s="9" t="s">
        <v>92</v>
      </c>
      <c r="J8" s="8"/>
    </row>
    <row r="9" spans="1:10" ht="75" customHeight="1" x14ac:dyDescent="0.35">
      <c r="A9" s="8">
        <v>8</v>
      </c>
      <c r="B9" s="8" t="s">
        <v>121</v>
      </c>
      <c r="C9" s="6" t="s">
        <v>44</v>
      </c>
      <c r="D9" s="6" t="s">
        <v>45</v>
      </c>
      <c r="E9" s="6" t="s">
        <v>122</v>
      </c>
      <c r="F9" s="6" t="s">
        <v>123</v>
      </c>
      <c r="G9" s="6" t="s">
        <v>124</v>
      </c>
      <c r="H9" s="6" t="s">
        <v>125</v>
      </c>
      <c r="I9" s="10" t="s">
        <v>126</v>
      </c>
      <c r="J9" s="8" t="s">
        <v>127</v>
      </c>
    </row>
    <row r="10" spans="1:10" ht="105" customHeight="1" x14ac:dyDescent="0.35">
      <c r="A10" s="8">
        <v>9</v>
      </c>
      <c r="B10" s="8" t="s">
        <v>128</v>
      </c>
      <c r="C10" s="6" t="s">
        <v>44</v>
      </c>
      <c r="D10" s="6" t="s">
        <v>46</v>
      </c>
      <c r="E10" s="6" t="s">
        <v>129</v>
      </c>
      <c r="F10" s="6" t="s">
        <v>130</v>
      </c>
      <c r="G10" s="6" t="s">
        <v>131</v>
      </c>
      <c r="H10" s="6" t="s">
        <v>132</v>
      </c>
      <c r="I10" s="10" t="s">
        <v>126</v>
      </c>
      <c r="J10" s="8" t="s">
        <v>133</v>
      </c>
    </row>
    <row r="11" spans="1:10" ht="75" customHeight="1" x14ac:dyDescent="0.35">
      <c r="A11" s="8">
        <v>10</v>
      </c>
      <c r="B11" s="8" t="s">
        <v>134</v>
      </c>
      <c r="C11" s="6" t="s">
        <v>47</v>
      </c>
      <c r="D11" s="6" t="s">
        <v>48</v>
      </c>
      <c r="E11" s="6" t="s">
        <v>135</v>
      </c>
      <c r="F11" s="6" t="s">
        <v>89</v>
      </c>
      <c r="G11" s="6" t="s">
        <v>136</v>
      </c>
      <c r="H11" s="6" t="s">
        <v>137</v>
      </c>
      <c r="I11" s="9" t="s">
        <v>92</v>
      </c>
      <c r="J11" s="8"/>
    </row>
    <row r="12" spans="1:10" ht="105" customHeight="1" x14ac:dyDescent="0.35">
      <c r="A12" s="8">
        <v>11</v>
      </c>
      <c r="B12" s="8" t="s">
        <v>138</v>
      </c>
      <c r="C12" s="6" t="s">
        <v>47</v>
      </c>
      <c r="D12" s="6" t="s">
        <v>49</v>
      </c>
      <c r="E12" s="6" t="s">
        <v>139</v>
      </c>
      <c r="F12" s="6" t="s">
        <v>140</v>
      </c>
      <c r="G12" s="6" t="s">
        <v>141</v>
      </c>
      <c r="H12" s="6" t="s">
        <v>142</v>
      </c>
      <c r="I12" s="9" t="s">
        <v>92</v>
      </c>
      <c r="J12" s="8"/>
    </row>
    <row r="13" spans="1:10" ht="75" customHeight="1" x14ac:dyDescent="0.35">
      <c r="A13" s="8">
        <v>12</v>
      </c>
      <c r="B13" s="8" t="s">
        <v>143</v>
      </c>
      <c r="C13" s="6" t="s">
        <v>47</v>
      </c>
      <c r="D13" s="6" t="s">
        <v>50</v>
      </c>
      <c r="E13" s="6" t="s">
        <v>144</v>
      </c>
      <c r="F13" s="6" t="s">
        <v>145</v>
      </c>
      <c r="G13" s="6" t="s">
        <v>146</v>
      </c>
      <c r="H13" s="6" t="s">
        <v>147</v>
      </c>
      <c r="I13" s="9" t="s">
        <v>92</v>
      </c>
      <c r="J13" s="8"/>
    </row>
    <row r="14" spans="1:10" ht="75" customHeight="1" x14ac:dyDescent="0.35">
      <c r="A14" s="8">
        <v>13</v>
      </c>
      <c r="B14" s="8" t="s">
        <v>148</v>
      </c>
      <c r="C14" s="6" t="s">
        <v>47</v>
      </c>
      <c r="D14" s="6" t="s">
        <v>51</v>
      </c>
      <c r="E14" s="6" t="s">
        <v>149</v>
      </c>
      <c r="F14" s="6" t="s">
        <v>150</v>
      </c>
      <c r="G14" s="6" t="s">
        <v>151</v>
      </c>
      <c r="H14" s="6" t="s">
        <v>152</v>
      </c>
      <c r="I14" s="9" t="s">
        <v>92</v>
      </c>
      <c r="J14" s="8"/>
    </row>
    <row r="15" spans="1:10" ht="105" customHeight="1" x14ac:dyDescent="0.35">
      <c r="A15" s="8">
        <v>14</v>
      </c>
      <c r="B15" s="8" t="s">
        <v>153</v>
      </c>
      <c r="C15" s="6" t="s">
        <v>47</v>
      </c>
      <c r="D15" s="6" t="s">
        <v>52</v>
      </c>
      <c r="E15" s="6" t="s">
        <v>154</v>
      </c>
      <c r="F15" s="6" t="s">
        <v>155</v>
      </c>
      <c r="G15" s="6" t="s">
        <v>156</v>
      </c>
      <c r="H15" s="6" t="s">
        <v>157</v>
      </c>
      <c r="I15" s="10" t="s">
        <v>126</v>
      </c>
      <c r="J15" s="8" t="s">
        <v>158</v>
      </c>
    </row>
    <row r="16" spans="1:10" ht="75" customHeight="1" x14ac:dyDescent="0.35">
      <c r="A16" s="8">
        <v>15</v>
      </c>
      <c r="B16" s="8" t="s">
        <v>159</v>
      </c>
      <c r="C16" s="6" t="s">
        <v>47</v>
      </c>
      <c r="D16" s="6" t="s">
        <v>53</v>
      </c>
      <c r="E16" s="6" t="s">
        <v>160</v>
      </c>
      <c r="F16" s="6" t="s">
        <v>161</v>
      </c>
      <c r="G16" s="6" t="s">
        <v>162</v>
      </c>
      <c r="H16" s="6" t="s">
        <v>163</v>
      </c>
      <c r="I16" s="10" t="s">
        <v>126</v>
      </c>
      <c r="J16" s="8" t="s">
        <v>164</v>
      </c>
    </row>
    <row r="17" spans="1:10" ht="75" customHeight="1" x14ac:dyDescent="0.35">
      <c r="A17" s="8">
        <v>16</v>
      </c>
      <c r="B17" s="8" t="s">
        <v>165</v>
      </c>
      <c r="C17" s="6" t="s">
        <v>47</v>
      </c>
      <c r="D17" s="6" t="s">
        <v>54</v>
      </c>
      <c r="E17" s="6" t="s">
        <v>166</v>
      </c>
      <c r="F17" s="6" t="s">
        <v>167</v>
      </c>
      <c r="G17" s="6" t="s">
        <v>168</v>
      </c>
      <c r="H17" s="6" t="s">
        <v>169</v>
      </c>
      <c r="I17" s="9" t="s">
        <v>92</v>
      </c>
      <c r="J17" s="8"/>
    </row>
    <row r="18" spans="1:10" ht="75" customHeight="1" x14ac:dyDescent="0.35">
      <c r="A18" s="8">
        <v>17</v>
      </c>
      <c r="B18" s="8" t="s">
        <v>170</v>
      </c>
      <c r="C18" s="6" t="s">
        <v>47</v>
      </c>
      <c r="D18" s="6" t="s">
        <v>55</v>
      </c>
      <c r="E18" s="6" t="s">
        <v>171</v>
      </c>
      <c r="F18" s="6" t="s">
        <v>172</v>
      </c>
      <c r="G18" s="6" t="s">
        <v>173</v>
      </c>
      <c r="H18" s="6" t="s">
        <v>174</v>
      </c>
      <c r="I18" s="9" t="s">
        <v>92</v>
      </c>
      <c r="J18" s="8"/>
    </row>
    <row r="19" spans="1:10" ht="75" customHeight="1" x14ac:dyDescent="0.35">
      <c r="A19" s="8">
        <v>18</v>
      </c>
      <c r="B19" s="8" t="s">
        <v>175</v>
      </c>
      <c r="C19" s="6" t="s">
        <v>56</v>
      </c>
      <c r="D19" s="6" t="s">
        <v>57</v>
      </c>
      <c r="E19" s="6" t="s">
        <v>176</v>
      </c>
      <c r="F19" s="6" t="s">
        <v>167</v>
      </c>
      <c r="G19" s="6" t="s">
        <v>177</v>
      </c>
      <c r="H19" s="6" t="s">
        <v>178</v>
      </c>
      <c r="I19" s="9" t="s">
        <v>92</v>
      </c>
      <c r="J19" s="8"/>
    </row>
    <row r="20" spans="1:10" ht="75" customHeight="1" x14ac:dyDescent="0.35">
      <c r="A20" s="8">
        <v>19</v>
      </c>
      <c r="B20" s="8" t="s">
        <v>179</v>
      </c>
      <c r="C20" s="6" t="s">
        <v>56</v>
      </c>
      <c r="D20" s="6" t="s">
        <v>58</v>
      </c>
      <c r="E20" s="6" t="s">
        <v>180</v>
      </c>
      <c r="F20" s="6" t="s">
        <v>181</v>
      </c>
      <c r="G20" s="6" t="s">
        <v>182</v>
      </c>
      <c r="H20" s="6" t="s">
        <v>183</v>
      </c>
      <c r="I20" s="9" t="s">
        <v>92</v>
      </c>
      <c r="J20" s="8"/>
    </row>
    <row r="21" spans="1:10" ht="75" customHeight="1" x14ac:dyDescent="0.35">
      <c r="A21" s="8">
        <v>20</v>
      </c>
      <c r="B21" s="8" t="s">
        <v>184</v>
      </c>
      <c r="C21" s="6" t="s">
        <v>56</v>
      </c>
      <c r="D21" s="6" t="s">
        <v>59</v>
      </c>
      <c r="E21" s="6" t="s">
        <v>185</v>
      </c>
      <c r="F21" s="6" t="s">
        <v>186</v>
      </c>
      <c r="G21" s="6" t="s">
        <v>187</v>
      </c>
      <c r="H21" s="6" t="s">
        <v>188</v>
      </c>
      <c r="I21" s="9" t="s">
        <v>92</v>
      </c>
      <c r="J21" s="8"/>
    </row>
    <row r="22" spans="1:10" ht="75" customHeight="1" x14ac:dyDescent="0.35">
      <c r="A22" s="8">
        <v>21</v>
      </c>
      <c r="B22" s="8" t="s">
        <v>189</v>
      </c>
      <c r="C22" s="6" t="s">
        <v>60</v>
      </c>
      <c r="D22" s="6" t="s">
        <v>61</v>
      </c>
      <c r="E22" s="6" t="s">
        <v>190</v>
      </c>
      <c r="F22" s="6" t="s">
        <v>186</v>
      </c>
      <c r="G22" s="6" t="s">
        <v>191</v>
      </c>
      <c r="H22" s="6" t="s">
        <v>192</v>
      </c>
      <c r="I22" s="9" t="s">
        <v>92</v>
      </c>
      <c r="J22" s="8"/>
    </row>
    <row r="23" spans="1:10" ht="105" customHeight="1" x14ac:dyDescent="0.35">
      <c r="A23" s="8">
        <v>22</v>
      </c>
      <c r="B23" s="8" t="s">
        <v>193</v>
      </c>
      <c r="C23" s="6" t="s">
        <v>60</v>
      </c>
      <c r="D23" s="6" t="s">
        <v>62</v>
      </c>
      <c r="E23" s="6" t="s">
        <v>194</v>
      </c>
      <c r="F23" s="6" t="s">
        <v>195</v>
      </c>
      <c r="G23" s="6" t="s">
        <v>196</v>
      </c>
      <c r="H23" s="6" t="s">
        <v>197</v>
      </c>
      <c r="I23" s="9" t="s">
        <v>92</v>
      </c>
      <c r="J23" s="8"/>
    </row>
    <row r="24" spans="1:10" ht="75" customHeight="1" x14ac:dyDescent="0.35">
      <c r="A24" s="8">
        <v>23</v>
      </c>
      <c r="B24" s="8" t="s">
        <v>198</v>
      </c>
      <c r="C24" s="6" t="s">
        <v>60</v>
      </c>
      <c r="D24" s="6" t="s">
        <v>63</v>
      </c>
      <c r="E24" s="6" t="s">
        <v>199</v>
      </c>
      <c r="F24" s="6" t="s">
        <v>200</v>
      </c>
      <c r="G24" s="6" t="s">
        <v>201</v>
      </c>
      <c r="H24" s="6" t="s">
        <v>202</v>
      </c>
      <c r="I24" s="9" t="s">
        <v>92</v>
      </c>
      <c r="J24" s="8"/>
    </row>
    <row r="25" spans="1:10" ht="75" customHeight="1" x14ac:dyDescent="0.35">
      <c r="A25" s="8">
        <v>24</v>
      </c>
      <c r="B25" s="8" t="s">
        <v>203</v>
      </c>
      <c r="C25" s="6" t="s">
        <v>60</v>
      </c>
      <c r="D25" s="6" t="s">
        <v>64</v>
      </c>
      <c r="E25" s="6" t="s">
        <v>204</v>
      </c>
      <c r="F25" s="6" t="s">
        <v>205</v>
      </c>
      <c r="G25" s="6" t="s">
        <v>206</v>
      </c>
      <c r="H25" s="6" t="s">
        <v>207</v>
      </c>
      <c r="I25" s="9" t="s">
        <v>92</v>
      </c>
      <c r="J25" s="8"/>
    </row>
    <row r="26" spans="1:10" ht="75" customHeight="1" x14ac:dyDescent="0.35">
      <c r="A26" s="8">
        <v>25</v>
      </c>
      <c r="B26" s="8" t="s">
        <v>208</v>
      </c>
      <c r="C26" s="6" t="s">
        <v>60</v>
      </c>
      <c r="D26" s="6" t="s">
        <v>65</v>
      </c>
      <c r="E26" s="6" t="s">
        <v>209</v>
      </c>
      <c r="F26" s="6" t="s">
        <v>210</v>
      </c>
      <c r="G26" s="6" t="s">
        <v>211</v>
      </c>
      <c r="H26" s="6" t="s">
        <v>212</v>
      </c>
      <c r="I26" s="9" t="s">
        <v>92</v>
      </c>
      <c r="J26" s="8"/>
    </row>
    <row r="27" spans="1:10" ht="105" customHeight="1" x14ac:dyDescent="0.35">
      <c r="A27" s="8">
        <v>26</v>
      </c>
      <c r="B27" s="8" t="s">
        <v>213</v>
      </c>
      <c r="C27" s="6" t="s">
        <v>60</v>
      </c>
      <c r="D27" s="6" t="s">
        <v>66</v>
      </c>
      <c r="E27" s="6" t="s">
        <v>214</v>
      </c>
      <c r="F27" s="6" t="s">
        <v>215</v>
      </c>
      <c r="G27" s="6" t="s">
        <v>216</v>
      </c>
      <c r="H27" s="6" t="s">
        <v>217</v>
      </c>
      <c r="I27" s="9" t="s">
        <v>92</v>
      </c>
      <c r="J27" s="8"/>
    </row>
    <row r="28" spans="1:10" ht="105" customHeight="1" x14ac:dyDescent="0.35">
      <c r="A28" s="8">
        <v>27</v>
      </c>
      <c r="B28" s="8" t="s">
        <v>218</v>
      </c>
      <c r="C28" s="6" t="s">
        <v>60</v>
      </c>
      <c r="D28" s="6" t="s">
        <v>67</v>
      </c>
      <c r="E28" s="6" t="s">
        <v>219</v>
      </c>
      <c r="F28" s="6" t="s">
        <v>220</v>
      </c>
      <c r="G28" s="6" t="s">
        <v>221</v>
      </c>
      <c r="H28" s="6" t="s">
        <v>222</v>
      </c>
      <c r="I28" s="9" t="s">
        <v>92</v>
      </c>
      <c r="J28" s="8"/>
    </row>
    <row r="29" spans="1:10" ht="75" customHeight="1" x14ac:dyDescent="0.35">
      <c r="A29" s="8">
        <v>28</v>
      </c>
      <c r="B29" s="8" t="s">
        <v>223</v>
      </c>
      <c r="C29" s="6" t="s">
        <v>60</v>
      </c>
      <c r="D29" s="6" t="s">
        <v>68</v>
      </c>
      <c r="E29" s="6" t="s">
        <v>224</v>
      </c>
      <c r="F29" s="6" t="s">
        <v>225</v>
      </c>
      <c r="G29" s="6" t="s">
        <v>226</v>
      </c>
      <c r="H29" s="6" t="s">
        <v>227</v>
      </c>
      <c r="I29" s="9" t="s">
        <v>92</v>
      </c>
      <c r="J29" s="8"/>
    </row>
    <row r="30" spans="1:10" ht="75" customHeight="1" x14ac:dyDescent="0.35">
      <c r="A30" s="8">
        <v>29</v>
      </c>
      <c r="B30" s="8" t="s">
        <v>228</v>
      </c>
      <c r="C30" s="6" t="s">
        <v>60</v>
      </c>
      <c r="D30" s="6" t="s">
        <v>69</v>
      </c>
      <c r="E30" s="6" t="s">
        <v>229</v>
      </c>
      <c r="F30" s="6" t="s">
        <v>118</v>
      </c>
      <c r="G30" s="6" t="s">
        <v>230</v>
      </c>
      <c r="H30" s="6" t="s">
        <v>231</v>
      </c>
      <c r="I30" s="9" t="s">
        <v>92</v>
      </c>
      <c r="J30" s="8"/>
    </row>
    <row r="31" spans="1:10" ht="75" customHeight="1" x14ac:dyDescent="0.35">
      <c r="A31" s="8">
        <v>30</v>
      </c>
      <c r="B31" s="8" t="s">
        <v>232</v>
      </c>
      <c r="C31" s="6" t="s">
        <v>70</v>
      </c>
      <c r="D31" s="6" t="s">
        <v>71</v>
      </c>
      <c r="E31" s="6" t="s">
        <v>233</v>
      </c>
      <c r="F31" s="6" t="s">
        <v>234</v>
      </c>
      <c r="G31" s="6" t="s">
        <v>235</v>
      </c>
      <c r="H31" s="6" t="s">
        <v>236</v>
      </c>
      <c r="I31" s="9" t="s">
        <v>92</v>
      </c>
      <c r="J31" s="8"/>
    </row>
    <row r="32" spans="1:10" ht="105" customHeight="1" x14ac:dyDescent="0.35">
      <c r="A32" s="8">
        <v>31</v>
      </c>
      <c r="B32" s="8" t="s">
        <v>237</v>
      </c>
      <c r="C32" s="6" t="s">
        <v>70</v>
      </c>
      <c r="D32" s="6" t="s">
        <v>72</v>
      </c>
      <c r="E32" s="6" t="s">
        <v>238</v>
      </c>
      <c r="F32" s="6" t="s">
        <v>234</v>
      </c>
      <c r="G32" s="6" t="s">
        <v>239</v>
      </c>
      <c r="H32" s="6" t="s">
        <v>240</v>
      </c>
      <c r="I32" s="10" t="s">
        <v>126</v>
      </c>
      <c r="J32" s="8" t="s">
        <v>241</v>
      </c>
    </row>
    <row r="33" spans="1:10" ht="75" customHeight="1" x14ac:dyDescent="0.35">
      <c r="A33" s="8">
        <v>32</v>
      </c>
      <c r="B33" s="8" t="s">
        <v>242</v>
      </c>
      <c r="C33" s="6" t="s">
        <v>73</v>
      </c>
      <c r="D33" s="6" t="s">
        <v>74</v>
      </c>
      <c r="E33" s="6" t="s">
        <v>243</v>
      </c>
      <c r="F33" s="6" t="s">
        <v>244</v>
      </c>
      <c r="G33" s="6" t="s">
        <v>245</v>
      </c>
      <c r="H33" s="6" t="s">
        <v>246</v>
      </c>
      <c r="I33" s="9" t="s">
        <v>92</v>
      </c>
      <c r="J33" s="8"/>
    </row>
    <row r="34" spans="1:10" ht="75" customHeight="1" x14ac:dyDescent="0.35">
      <c r="A34" s="8">
        <v>33</v>
      </c>
      <c r="B34" s="8" t="s">
        <v>247</v>
      </c>
      <c r="C34" s="6" t="s">
        <v>73</v>
      </c>
      <c r="D34" s="6" t="s">
        <v>75</v>
      </c>
      <c r="E34" s="6" t="s">
        <v>248</v>
      </c>
      <c r="F34" s="6" t="s">
        <v>244</v>
      </c>
      <c r="G34" s="6" t="s">
        <v>249</v>
      </c>
      <c r="H34" s="6" t="s">
        <v>250</v>
      </c>
      <c r="I34" s="9" t="s">
        <v>92</v>
      </c>
      <c r="J34" s="8"/>
    </row>
    <row r="35" spans="1:10" ht="75" customHeight="1" x14ac:dyDescent="0.35">
      <c r="A35" s="8">
        <v>34</v>
      </c>
      <c r="B35" s="8" t="s">
        <v>251</v>
      </c>
      <c r="C35" s="6" t="s">
        <v>73</v>
      </c>
      <c r="D35" s="6" t="s">
        <v>76</v>
      </c>
      <c r="E35" s="6" t="s">
        <v>252</v>
      </c>
      <c r="F35" s="6" t="s">
        <v>244</v>
      </c>
      <c r="G35" s="6" t="s">
        <v>253</v>
      </c>
      <c r="H35" s="6" t="s">
        <v>254</v>
      </c>
      <c r="I35" s="10" t="s">
        <v>126</v>
      </c>
      <c r="J35" s="8" t="s">
        <v>255</v>
      </c>
    </row>
    <row r="36" spans="1:10" ht="75" customHeight="1" x14ac:dyDescent="0.35">
      <c r="A36" s="8">
        <v>35</v>
      </c>
      <c r="B36" s="8" t="s">
        <v>256</v>
      </c>
      <c r="C36" s="6" t="s">
        <v>77</v>
      </c>
      <c r="D36" s="6" t="s">
        <v>78</v>
      </c>
      <c r="E36" s="6" t="s">
        <v>257</v>
      </c>
      <c r="F36" s="6" t="s">
        <v>89</v>
      </c>
      <c r="G36" s="6" t="s">
        <v>258</v>
      </c>
      <c r="H36" s="6" t="s">
        <v>259</v>
      </c>
      <c r="I36" s="9" t="s">
        <v>92</v>
      </c>
      <c r="J36" s="8"/>
    </row>
    <row r="37" spans="1:10" ht="75" customHeight="1" x14ac:dyDescent="0.35">
      <c r="A37" s="8">
        <v>36</v>
      </c>
      <c r="B37" s="8" t="s">
        <v>260</v>
      </c>
      <c r="C37" s="6" t="s">
        <v>77</v>
      </c>
      <c r="D37" s="6" t="s">
        <v>79</v>
      </c>
      <c r="E37" s="6" t="s">
        <v>261</v>
      </c>
      <c r="F37" s="6" t="s">
        <v>89</v>
      </c>
      <c r="G37" s="6" t="s">
        <v>262</v>
      </c>
      <c r="H37" s="6" t="s">
        <v>263</v>
      </c>
      <c r="I37" s="9" t="s">
        <v>92</v>
      </c>
      <c r="J37" s="8"/>
    </row>
  </sheetData>
  <autoFilter ref="A1:J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2"/>
  <sheetViews>
    <sheetView topLeftCell="A59" zoomScaleNormal="100" workbookViewId="0">
      <selection activeCell="B46" sqref="B46"/>
    </sheetView>
  </sheetViews>
  <sheetFormatPr defaultColWidth="8.6328125" defaultRowHeight="14.5" x14ac:dyDescent="0.35"/>
  <cols>
    <col min="1" max="1" width="20" customWidth="1"/>
    <col min="2" max="2" width="90" customWidth="1"/>
  </cols>
  <sheetData>
    <row r="1" spans="1:2" x14ac:dyDescent="0.35">
      <c r="A1" s="5" t="s">
        <v>86</v>
      </c>
      <c r="B1" s="6" t="s">
        <v>127</v>
      </c>
    </row>
    <row r="2" spans="1:2" x14ac:dyDescent="0.35">
      <c r="A2" s="5" t="s">
        <v>80</v>
      </c>
      <c r="B2" s="6" t="s">
        <v>121</v>
      </c>
    </row>
    <row r="3" spans="1:2" x14ac:dyDescent="0.35">
      <c r="A3" s="5" t="s">
        <v>34</v>
      </c>
      <c r="B3" s="6" t="s">
        <v>44</v>
      </c>
    </row>
    <row r="4" spans="1:2" x14ac:dyDescent="0.35">
      <c r="A4" s="5" t="s">
        <v>264</v>
      </c>
      <c r="B4" s="6" t="s">
        <v>457</v>
      </c>
    </row>
    <row r="5" spans="1:2" x14ac:dyDescent="0.35">
      <c r="A5" s="5" t="s">
        <v>266</v>
      </c>
      <c r="B5" s="6" t="s">
        <v>267</v>
      </c>
    </row>
    <row r="6" spans="1:2" ht="31.5" customHeight="1" x14ac:dyDescent="0.35">
      <c r="A6" s="5" t="s">
        <v>268</v>
      </c>
      <c r="B6" s="6" t="s">
        <v>269</v>
      </c>
    </row>
    <row r="7" spans="1:2" ht="79.5" customHeight="1" x14ac:dyDescent="0.35">
      <c r="A7" s="5" t="s">
        <v>270</v>
      </c>
      <c r="B7" s="6" t="s">
        <v>271</v>
      </c>
    </row>
    <row r="8" spans="1:2" ht="31.5" customHeight="1" x14ac:dyDescent="0.35">
      <c r="A8" s="5" t="s">
        <v>83</v>
      </c>
      <c r="B8" s="6" t="s">
        <v>272</v>
      </c>
    </row>
    <row r="9" spans="1:2" ht="31.5" customHeight="1" x14ac:dyDescent="0.35">
      <c r="A9" s="5" t="s">
        <v>84</v>
      </c>
      <c r="B9" s="6" t="s">
        <v>273</v>
      </c>
    </row>
    <row r="10" spans="1:2" x14ac:dyDescent="0.35">
      <c r="A10" s="5" t="s">
        <v>274</v>
      </c>
      <c r="B10" s="6" t="s">
        <v>275</v>
      </c>
    </row>
    <row r="11" spans="1:2" x14ac:dyDescent="0.35">
      <c r="A11" s="5" t="s">
        <v>276</v>
      </c>
      <c r="B11" s="6" t="s">
        <v>275</v>
      </c>
    </row>
    <row r="12" spans="1:2" x14ac:dyDescent="0.35">
      <c r="A12" s="5" t="s">
        <v>277</v>
      </c>
      <c r="B12" s="6" t="s">
        <v>278</v>
      </c>
    </row>
    <row r="15" spans="1:2" x14ac:dyDescent="0.35">
      <c r="A15" s="5" t="s">
        <v>86</v>
      </c>
      <c r="B15" s="6" t="s">
        <v>133</v>
      </c>
    </row>
    <row r="16" spans="1:2" x14ac:dyDescent="0.35">
      <c r="A16" s="5" t="s">
        <v>80</v>
      </c>
      <c r="B16" s="6" t="s">
        <v>128</v>
      </c>
    </row>
    <row r="17" spans="1:2" x14ac:dyDescent="0.35">
      <c r="A17" s="5" t="s">
        <v>34</v>
      </c>
      <c r="B17" s="6" t="s">
        <v>44</v>
      </c>
    </row>
    <row r="18" spans="1:2" x14ac:dyDescent="0.35">
      <c r="A18" s="5" t="s">
        <v>264</v>
      </c>
      <c r="B18" s="6" t="s">
        <v>457</v>
      </c>
    </row>
    <row r="19" spans="1:2" x14ac:dyDescent="0.35">
      <c r="A19" s="5" t="s">
        <v>266</v>
      </c>
      <c r="B19" s="6" t="s">
        <v>267</v>
      </c>
    </row>
    <row r="20" spans="1:2" ht="31.5" customHeight="1" x14ac:dyDescent="0.35">
      <c r="A20" s="5" t="s">
        <v>268</v>
      </c>
      <c r="B20" s="6" t="s">
        <v>279</v>
      </c>
    </row>
    <row r="21" spans="1:2" ht="79.5" customHeight="1" x14ac:dyDescent="0.35">
      <c r="A21" s="5" t="s">
        <v>270</v>
      </c>
      <c r="B21" s="6" t="s">
        <v>280</v>
      </c>
    </row>
    <row r="22" spans="1:2" ht="31.5" customHeight="1" x14ac:dyDescent="0.35">
      <c r="A22" s="5" t="s">
        <v>83</v>
      </c>
      <c r="B22" s="6" t="s">
        <v>281</v>
      </c>
    </row>
    <row r="23" spans="1:2" ht="31.5" customHeight="1" x14ac:dyDescent="0.35">
      <c r="A23" s="5" t="s">
        <v>84</v>
      </c>
      <c r="B23" s="6" t="s">
        <v>282</v>
      </c>
    </row>
    <row r="24" spans="1:2" x14ac:dyDescent="0.35">
      <c r="A24" s="5" t="s">
        <v>274</v>
      </c>
      <c r="B24" s="6" t="s">
        <v>275</v>
      </c>
    </row>
    <row r="25" spans="1:2" x14ac:dyDescent="0.35">
      <c r="A25" s="5" t="s">
        <v>276</v>
      </c>
      <c r="B25" s="6" t="s">
        <v>275</v>
      </c>
    </row>
    <row r="26" spans="1:2" x14ac:dyDescent="0.35">
      <c r="A26" s="5" t="s">
        <v>277</v>
      </c>
      <c r="B26" s="6" t="s">
        <v>278</v>
      </c>
    </row>
    <row r="29" spans="1:2" x14ac:dyDescent="0.35">
      <c r="A29" s="5" t="s">
        <v>86</v>
      </c>
      <c r="B29" s="6" t="s">
        <v>158</v>
      </c>
    </row>
    <row r="30" spans="1:2" x14ac:dyDescent="0.35">
      <c r="A30" s="5" t="s">
        <v>80</v>
      </c>
      <c r="B30" s="6" t="s">
        <v>153</v>
      </c>
    </row>
    <row r="31" spans="1:2" x14ac:dyDescent="0.35">
      <c r="A31" s="5" t="s">
        <v>34</v>
      </c>
      <c r="B31" s="6" t="s">
        <v>47</v>
      </c>
    </row>
    <row r="32" spans="1:2" x14ac:dyDescent="0.35">
      <c r="A32" s="5" t="s">
        <v>264</v>
      </c>
      <c r="B32" s="6" t="s">
        <v>457</v>
      </c>
    </row>
    <row r="33" spans="1:2" x14ac:dyDescent="0.35">
      <c r="A33" s="5" t="s">
        <v>266</v>
      </c>
      <c r="B33" s="6" t="s">
        <v>267</v>
      </c>
    </row>
    <row r="34" spans="1:2" ht="31.5" customHeight="1" x14ac:dyDescent="0.35">
      <c r="A34" s="5" t="s">
        <v>268</v>
      </c>
      <c r="B34" s="6" t="s">
        <v>283</v>
      </c>
    </row>
    <row r="35" spans="1:2" ht="79.5" customHeight="1" x14ac:dyDescent="0.35">
      <c r="A35" s="5" t="s">
        <v>270</v>
      </c>
      <c r="B35" s="6" t="s">
        <v>284</v>
      </c>
    </row>
    <row r="36" spans="1:2" ht="31.5" customHeight="1" x14ac:dyDescent="0.35">
      <c r="A36" s="5" t="s">
        <v>83</v>
      </c>
      <c r="B36" s="6" t="s">
        <v>285</v>
      </c>
    </row>
    <row r="37" spans="1:2" ht="31.5" customHeight="1" x14ac:dyDescent="0.35">
      <c r="A37" s="5" t="s">
        <v>84</v>
      </c>
      <c r="B37" s="6" t="s">
        <v>286</v>
      </c>
    </row>
    <row r="38" spans="1:2" x14ac:dyDescent="0.35">
      <c r="A38" s="5" t="s">
        <v>274</v>
      </c>
      <c r="B38" s="6" t="s">
        <v>275</v>
      </c>
    </row>
    <row r="39" spans="1:2" x14ac:dyDescent="0.35">
      <c r="A39" s="5" t="s">
        <v>276</v>
      </c>
      <c r="B39" s="6" t="s">
        <v>275</v>
      </c>
    </row>
    <row r="40" spans="1:2" x14ac:dyDescent="0.35">
      <c r="A40" s="5" t="s">
        <v>277</v>
      </c>
      <c r="B40" s="6" t="s">
        <v>278</v>
      </c>
    </row>
    <row r="43" spans="1:2" x14ac:dyDescent="0.35">
      <c r="A43" s="5" t="s">
        <v>86</v>
      </c>
      <c r="B43" s="6" t="s">
        <v>164</v>
      </c>
    </row>
    <row r="44" spans="1:2" x14ac:dyDescent="0.35">
      <c r="A44" s="5" t="s">
        <v>80</v>
      </c>
      <c r="B44" s="6" t="s">
        <v>159</v>
      </c>
    </row>
    <row r="45" spans="1:2" x14ac:dyDescent="0.35">
      <c r="A45" s="5" t="s">
        <v>34</v>
      </c>
      <c r="B45" s="6" t="s">
        <v>47</v>
      </c>
    </row>
    <row r="46" spans="1:2" x14ac:dyDescent="0.35">
      <c r="A46" s="5" t="s">
        <v>264</v>
      </c>
      <c r="B46" s="6" t="s">
        <v>457</v>
      </c>
    </row>
    <row r="47" spans="1:2" x14ac:dyDescent="0.35">
      <c r="A47" s="5" t="s">
        <v>266</v>
      </c>
      <c r="B47" s="6" t="s">
        <v>267</v>
      </c>
    </row>
    <row r="48" spans="1:2" ht="31.5" customHeight="1" x14ac:dyDescent="0.35">
      <c r="A48" s="5" t="s">
        <v>268</v>
      </c>
      <c r="B48" s="6" t="s">
        <v>287</v>
      </c>
    </row>
    <row r="49" spans="1:2" ht="79.5" customHeight="1" x14ac:dyDescent="0.35">
      <c r="A49" s="5" t="s">
        <v>270</v>
      </c>
      <c r="B49" s="6" t="s">
        <v>288</v>
      </c>
    </row>
    <row r="50" spans="1:2" ht="31.5" customHeight="1" x14ac:dyDescent="0.35">
      <c r="A50" s="5" t="s">
        <v>83</v>
      </c>
      <c r="B50" s="6" t="s">
        <v>289</v>
      </c>
    </row>
    <row r="51" spans="1:2" ht="31.5" customHeight="1" x14ac:dyDescent="0.35">
      <c r="A51" s="5" t="s">
        <v>84</v>
      </c>
      <c r="B51" s="6" t="s">
        <v>286</v>
      </c>
    </row>
    <row r="52" spans="1:2" x14ac:dyDescent="0.35">
      <c r="A52" s="5" t="s">
        <v>274</v>
      </c>
      <c r="B52" s="6" t="s">
        <v>290</v>
      </c>
    </row>
    <row r="53" spans="1:2" x14ac:dyDescent="0.35">
      <c r="A53" s="5" t="s">
        <v>276</v>
      </c>
      <c r="B53" s="6" t="s">
        <v>290</v>
      </c>
    </row>
    <row r="54" spans="1:2" x14ac:dyDescent="0.35">
      <c r="A54" s="5" t="s">
        <v>277</v>
      </c>
      <c r="B54" s="6" t="s">
        <v>278</v>
      </c>
    </row>
    <row r="57" spans="1:2" x14ac:dyDescent="0.35">
      <c r="A57" s="5" t="s">
        <v>86</v>
      </c>
      <c r="B57" s="6" t="s">
        <v>241</v>
      </c>
    </row>
    <row r="58" spans="1:2" x14ac:dyDescent="0.35">
      <c r="A58" s="5" t="s">
        <v>80</v>
      </c>
      <c r="B58" s="6" t="s">
        <v>237</v>
      </c>
    </row>
    <row r="59" spans="1:2" x14ac:dyDescent="0.35">
      <c r="A59" s="5" t="s">
        <v>34</v>
      </c>
      <c r="B59" s="6" t="s">
        <v>70</v>
      </c>
    </row>
    <row r="60" spans="1:2" x14ac:dyDescent="0.35">
      <c r="A60" s="5" t="s">
        <v>264</v>
      </c>
      <c r="B60" s="6" t="s">
        <v>265</v>
      </c>
    </row>
    <row r="61" spans="1:2" x14ac:dyDescent="0.35">
      <c r="A61" s="5" t="s">
        <v>266</v>
      </c>
      <c r="B61" s="6" t="s">
        <v>267</v>
      </c>
    </row>
    <row r="62" spans="1:2" ht="31.5" customHeight="1" x14ac:dyDescent="0.35">
      <c r="A62" s="5" t="s">
        <v>268</v>
      </c>
      <c r="B62" s="6" t="s">
        <v>291</v>
      </c>
    </row>
    <row r="63" spans="1:2" ht="79.5" customHeight="1" x14ac:dyDescent="0.35">
      <c r="A63" s="5" t="s">
        <v>270</v>
      </c>
      <c r="B63" s="6" t="s">
        <v>292</v>
      </c>
    </row>
    <row r="64" spans="1:2" ht="31.5" customHeight="1" x14ac:dyDescent="0.35">
      <c r="A64" s="5" t="s">
        <v>83</v>
      </c>
      <c r="B64" s="6" t="s">
        <v>293</v>
      </c>
    </row>
    <row r="65" spans="1:2" ht="31.5" customHeight="1" x14ac:dyDescent="0.35">
      <c r="A65" s="5" t="s">
        <v>84</v>
      </c>
      <c r="B65" s="6" t="s">
        <v>294</v>
      </c>
    </row>
    <row r="66" spans="1:2" x14ac:dyDescent="0.35">
      <c r="A66" s="5" t="s">
        <v>274</v>
      </c>
      <c r="B66" s="6" t="s">
        <v>290</v>
      </c>
    </row>
    <row r="67" spans="1:2" x14ac:dyDescent="0.35">
      <c r="A67" s="5" t="s">
        <v>276</v>
      </c>
      <c r="B67" s="6" t="s">
        <v>290</v>
      </c>
    </row>
    <row r="68" spans="1:2" x14ac:dyDescent="0.35">
      <c r="A68" s="5" t="s">
        <v>277</v>
      </c>
      <c r="B68" s="6" t="s">
        <v>278</v>
      </c>
    </row>
    <row r="71" spans="1:2" x14ac:dyDescent="0.35">
      <c r="A71" s="5" t="s">
        <v>86</v>
      </c>
      <c r="B71" s="6" t="s">
        <v>255</v>
      </c>
    </row>
    <row r="72" spans="1:2" x14ac:dyDescent="0.35">
      <c r="A72" s="5" t="s">
        <v>80</v>
      </c>
      <c r="B72" s="6" t="s">
        <v>251</v>
      </c>
    </row>
    <row r="73" spans="1:2" x14ac:dyDescent="0.35">
      <c r="A73" s="5" t="s">
        <v>34</v>
      </c>
      <c r="B73" s="6" t="s">
        <v>73</v>
      </c>
    </row>
    <row r="74" spans="1:2" x14ac:dyDescent="0.35">
      <c r="A74" s="5" t="s">
        <v>264</v>
      </c>
      <c r="B74" s="6" t="s">
        <v>265</v>
      </c>
    </row>
    <row r="75" spans="1:2" x14ac:dyDescent="0.35">
      <c r="A75" s="5" t="s">
        <v>266</v>
      </c>
      <c r="B75" s="6" t="s">
        <v>267</v>
      </c>
    </row>
    <row r="76" spans="1:2" ht="31.5" customHeight="1" x14ac:dyDescent="0.35">
      <c r="A76" s="5" t="s">
        <v>268</v>
      </c>
      <c r="B76" s="6" t="s">
        <v>295</v>
      </c>
    </row>
    <row r="77" spans="1:2" ht="79.5" customHeight="1" x14ac:dyDescent="0.35">
      <c r="A77" s="5" t="s">
        <v>270</v>
      </c>
      <c r="B77" s="6" t="s">
        <v>296</v>
      </c>
    </row>
    <row r="78" spans="1:2" ht="31.5" customHeight="1" x14ac:dyDescent="0.35">
      <c r="A78" s="5" t="s">
        <v>83</v>
      </c>
      <c r="B78" s="6" t="s">
        <v>297</v>
      </c>
    </row>
    <row r="79" spans="1:2" ht="31.5" customHeight="1" x14ac:dyDescent="0.35">
      <c r="A79" s="5" t="s">
        <v>84</v>
      </c>
      <c r="B79" s="6" t="s">
        <v>298</v>
      </c>
    </row>
    <row r="80" spans="1:2" x14ac:dyDescent="0.35">
      <c r="A80" s="5" t="s">
        <v>274</v>
      </c>
      <c r="B80" s="6" t="s">
        <v>290</v>
      </c>
    </row>
    <row r="81" spans="1:2" x14ac:dyDescent="0.35">
      <c r="A81" s="5" t="s">
        <v>276</v>
      </c>
      <c r="B81" s="6" t="s">
        <v>299</v>
      </c>
    </row>
    <row r="82" spans="1:2" x14ac:dyDescent="0.35">
      <c r="A82" s="5" t="s">
        <v>277</v>
      </c>
      <c r="B82" s="6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29"/>
  <sheetViews>
    <sheetView zoomScaleNormal="100" workbookViewId="0"/>
  </sheetViews>
  <sheetFormatPr defaultColWidth="8.6328125" defaultRowHeight="14.5" x14ac:dyDescent="0.35"/>
  <cols>
    <col min="1" max="1" width="26" customWidth="1"/>
    <col min="2" max="4" width="12" customWidth="1"/>
  </cols>
  <sheetData>
    <row r="2" spans="1:4" x14ac:dyDescent="0.35">
      <c r="A2" s="5" t="s">
        <v>34</v>
      </c>
      <c r="B2" s="5" t="s">
        <v>300</v>
      </c>
      <c r="C2" s="5" t="s">
        <v>301</v>
      </c>
      <c r="D2" s="5" t="s">
        <v>302</v>
      </c>
    </row>
    <row r="3" spans="1:4" x14ac:dyDescent="0.35">
      <c r="A3" s="6" t="s">
        <v>36</v>
      </c>
      <c r="B3" s="6">
        <f>COUNTIF(TestCase!$C$2:$C$37,A3)</f>
        <v>7</v>
      </c>
      <c r="C3" s="6">
        <f>COUNTIFS(TestCase!$C$2:$C$37,A3,TestCase!$I$2:$I$37,"Pass")</f>
        <v>7</v>
      </c>
      <c r="D3" s="6">
        <f>COUNTIFS(TestCase!$C$2:$C$37,A3,TestCase!$I$2:$I$37,"Fail")</f>
        <v>0</v>
      </c>
    </row>
    <row r="4" spans="1:4" x14ac:dyDescent="0.35">
      <c r="A4" s="6" t="s">
        <v>44</v>
      </c>
      <c r="B4" s="6">
        <f>COUNTIF(TestCase!$C$2:$C$37,A4)</f>
        <v>2</v>
      </c>
      <c r="C4" s="6">
        <f>COUNTIFS(TestCase!$C$2:$C$37,A4,TestCase!$I$2:$I$37,"Pass")</f>
        <v>0</v>
      </c>
      <c r="D4" s="6">
        <f>COUNTIFS(TestCase!$C$2:$C$37,A4,TestCase!$I$2:$I$37,"Fail")</f>
        <v>2</v>
      </c>
    </row>
    <row r="5" spans="1:4" x14ac:dyDescent="0.35">
      <c r="A5" s="6" t="s">
        <v>47</v>
      </c>
      <c r="B5" s="6">
        <f>COUNTIF(TestCase!$C$2:$C$37,A5)</f>
        <v>8</v>
      </c>
      <c r="C5" s="6">
        <f>COUNTIFS(TestCase!$C$2:$C$37,A5,TestCase!$I$2:$I$37,"Pass")</f>
        <v>6</v>
      </c>
      <c r="D5" s="6">
        <f>COUNTIFS(TestCase!$C$2:$C$37,A5,TestCase!$I$2:$I$37,"Fail")</f>
        <v>2</v>
      </c>
    </row>
    <row r="6" spans="1:4" x14ac:dyDescent="0.35">
      <c r="A6" s="6" t="s">
        <v>56</v>
      </c>
      <c r="B6" s="6">
        <f>COUNTIF(TestCase!$C$2:$C$37,A6)</f>
        <v>3</v>
      </c>
      <c r="C6" s="6">
        <f>COUNTIFS(TestCase!$C$2:$C$37,A6,TestCase!$I$2:$I$37,"Pass")</f>
        <v>3</v>
      </c>
      <c r="D6" s="6">
        <f>COUNTIFS(TestCase!$C$2:$C$37,A6,TestCase!$I$2:$I$37,"Fail")</f>
        <v>0</v>
      </c>
    </row>
    <row r="7" spans="1:4" x14ac:dyDescent="0.35">
      <c r="A7" s="6" t="s">
        <v>60</v>
      </c>
      <c r="B7" s="6">
        <f>COUNTIF(TestCase!$C$2:$C$37,A7)</f>
        <v>9</v>
      </c>
      <c r="C7" s="6">
        <f>COUNTIFS(TestCase!$C$2:$C$37,A7,TestCase!$I$2:$I$37,"Pass")</f>
        <v>9</v>
      </c>
      <c r="D7" s="6">
        <f>COUNTIFS(TestCase!$C$2:$C$37,A7,TestCase!$I$2:$I$37,"Fail")</f>
        <v>0</v>
      </c>
    </row>
    <row r="8" spans="1:4" x14ac:dyDescent="0.35">
      <c r="A8" s="6" t="s">
        <v>70</v>
      </c>
      <c r="B8" s="6">
        <f>COUNTIF(TestCase!$C$2:$C$37,A8)</f>
        <v>2</v>
      </c>
      <c r="C8" s="6">
        <f>COUNTIFS(TestCase!$C$2:$C$37,A8,TestCase!$I$2:$I$37,"Pass")</f>
        <v>1</v>
      </c>
      <c r="D8" s="6">
        <f>COUNTIFS(TestCase!$C$2:$C$37,A8,TestCase!$I$2:$I$37,"Fail")</f>
        <v>1</v>
      </c>
    </row>
    <row r="9" spans="1:4" x14ac:dyDescent="0.35">
      <c r="A9" s="6" t="s">
        <v>73</v>
      </c>
      <c r="B9" s="6">
        <f>COUNTIF(TestCase!$C$2:$C$37,A9)</f>
        <v>3</v>
      </c>
      <c r="C9" s="6">
        <f>COUNTIFS(TestCase!$C$2:$C$37,A9,TestCase!$I$2:$I$37,"Pass")</f>
        <v>2</v>
      </c>
      <c r="D9" s="6">
        <f>COUNTIFS(TestCase!$C$2:$C$37,A9,TestCase!$I$2:$I$37,"Fail")</f>
        <v>1</v>
      </c>
    </row>
    <row r="10" spans="1:4" x14ac:dyDescent="0.35">
      <c r="A10" s="6" t="s">
        <v>77</v>
      </c>
      <c r="B10" s="6">
        <f>COUNTIF(TestCase!$C$2:$C$37,A10)</f>
        <v>2</v>
      </c>
      <c r="C10" s="6">
        <f>COUNTIFS(TestCase!$C$2:$C$37,A10,TestCase!$I$2:$I$37,"Pass")</f>
        <v>2</v>
      </c>
      <c r="D10" s="6">
        <f>COUNTIFS(TestCase!$C$2:$C$37,A10,TestCase!$I$2:$I$37,"Fail")</f>
        <v>0</v>
      </c>
    </row>
    <row r="11" spans="1:4" x14ac:dyDescent="0.35">
      <c r="A11" s="5" t="s">
        <v>303</v>
      </c>
      <c r="B11" s="5">
        <f>SUM(B3:B10)</f>
        <v>36</v>
      </c>
      <c r="C11" s="5">
        <f>SUM(C3:C10)</f>
        <v>30</v>
      </c>
      <c r="D11" s="5">
        <f>SUM(D3:D10)</f>
        <v>6</v>
      </c>
    </row>
    <row r="14" spans="1:4" x14ac:dyDescent="0.35">
      <c r="A14" s="5" t="s">
        <v>304</v>
      </c>
      <c r="B14" s="5" t="s">
        <v>305</v>
      </c>
    </row>
    <row r="15" spans="1:4" x14ac:dyDescent="0.35">
      <c r="A15" s="6" t="s">
        <v>306</v>
      </c>
      <c r="B15" s="6">
        <f>COUNTA(TestCase!$B$2:$B$37)</f>
        <v>36</v>
      </c>
    </row>
    <row r="16" spans="1:4" x14ac:dyDescent="0.35">
      <c r="A16" s="6" t="s">
        <v>301</v>
      </c>
      <c r="B16" s="6">
        <f>COUNTIF(TestCase!$I$2:$I$37,"Pass")</f>
        <v>30</v>
      </c>
    </row>
    <row r="17" spans="1:2" x14ac:dyDescent="0.35">
      <c r="A17" s="6" t="s">
        <v>302</v>
      </c>
      <c r="B17" s="6">
        <f>COUNTIF(TestCase!$I$2:$I$37,"Fail")</f>
        <v>6</v>
      </c>
    </row>
    <row r="18" spans="1:2" x14ac:dyDescent="0.35">
      <c r="A18" s="6" t="s">
        <v>307</v>
      </c>
      <c r="B18" s="6">
        <f>COUNTIF(TestCase!$I$2:$I$37,"Blocked")</f>
        <v>0</v>
      </c>
    </row>
    <row r="19" spans="1:2" x14ac:dyDescent="0.35">
      <c r="A19" s="6" t="s">
        <v>308</v>
      </c>
      <c r="B19" s="6">
        <f>COUNTIF(TestCase!$I$2:$I$37,"Not Executed")</f>
        <v>0</v>
      </c>
    </row>
    <row r="20" spans="1:2" x14ac:dyDescent="0.35">
      <c r="A20" s="5" t="s">
        <v>309</v>
      </c>
      <c r="B20" s="11">
        <f>B16/B15</f>
        <v>0.83333333333333337</v>
      </c>
    </row>
    <row r="21" spans="1:2" x14ac:dyDescent="0.35">
      <c r="A21" s="5" t="s">
        <v>310</v>
      </c>
      <c r="B21" s="11">
        <f>B17/B15</f>
        <v>0.16666666666666666</v>
      </c>
    </row>
    <row r="24" spans="1:2" x14ac:dyDescent="0.35">
      <c r="A24" s="5" t="s">
        <v>311</v>
      </c>
      <c r="B24" s="5" t="s">
        <v>305</v>
      </c>
    </row>
    <row r="25" spans="1:2" x14ac:dyDescent="0.35">
      <c r="A25" s="6" t="s">
        <v>312</v>
      </c>
      <c r="B25" s="6">
        <f>COUNTIF(DefectReport!$A$1:$A$100,"Bug ID")</f>
        <v>6</v>
      </c>
    </row>
    <row r="26" spans="1:2" x14ac:dyDescent="0.35">
      <c r="A26" s="6" t="s">
        <v>313</v>
      </c>
      <c r="B26" s="6">
        <f>COUNTIFS(DefectReport!$A$1:$A$100,"Severity",DefectReport!$B$1:$B$100,"High")</f>
        <v>3</v>
      </c>
    </row>
    <row r="27" spans="1:2" x14ac:dyDescent="0.35">
      <c r="A27" s="6" t="s">
        <v>314</v>
      </c>
      <c r="B27" s="6">
        <f>COUNTIFS(DefectReport!$A$1:$A$100,"Severity",DefectReport!$B$1:$B$100,"Medium")</f>
        <v>3</v>
      </c>
    </row>
    <row r="28" spans="1:2" x14ac:dyDescent="0.35">
      <c r="A28" s="6" t="s">
        <v>315</v>
      </c>
      <c r="B28" s="6">
        <f>COUNTIFS(DefectReport!$A$1:$A$100,"Severity",DefectReport!$B$1:$B$100,"Low")</f>
        <v>0</v>
      </c>
    </row>
    <row r="29" spans="1:2" x14ac:dyDescent="0.35">
      <c r="A29" s="6" t="s">
        <v>316</v>
      </c>
      <c r="B29" s="6">
        <f>COUNTIFS(DefectReport!$A$1:$A$100,"Status ",DefectReport!$B$1:$B$100,"Open")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zoomScaleNormal="100" workbookViewId="0">
      <selection sqref="A1:G1"/>
    </sheetView>
  </sheetViews>
  <sheetFormatPr defaultColWidth="8.6328125" defaultRowHeight="14.5" x14ac:dyDescent="0.35"/>
  <cols>
    <col min="1" max="1" width="12" customWidth="1"/>
    <col min="2" max="2" width="52" customWidth="1"/>
    <col min="3" max="3" width="22" customWidth="1"/>
    <col min="4" max="4" width="18" customWidth="1"/>
    <col min="5" max="5" width="14" customWidth="1"/>
    <col min="6" max="6" width="60" customWidth="1"/>
    <col min="7" max="7" width="18" customWidth="1"/>
  </cols>
  <sheetData>
    <row r="1" spans="1:7" ht="30" customHeight="1" x14ac:dyDescent="0.35">
      <c r="A1" s="4" t="s">
        <v>317</v>
      </c>
      <c r="B1" s="4"/>
      <c r="C1" s="4"/>
      <c r="D1" s="4"/>
      <c r="E1" s="4"/>
      <c r="F1" s="4"/>
      <c r="G1" s="4"/>
    </row>
    <row r="2" spans="1:7" ht="15" customHeight="1" x14ac:dyDescent="0.35">
      <c r="A2" s="3" t="s">
        <v>318</v>
      </c>
      <c r="B2" s="3"/>
      <c r="C2" s="3"/>
      <c r="D2" s="3"/>
      <c r="E2" s="3"/>
      <c r="F2" s="3"/>
      <c r="G2" s="3"/>
    </row>
    <row r="3" spans="1:7" ht="6" customHeight="1" x14ac:dyDescent="0.35"/>
    <row r="4" spans="1:7" ht="21.75" customHeight="1" x14ac:dyDescent="0.35">
      <c r="A4" s="12" t="s">
        <v>319</v>
      </c>
      <c r="B4" s="12" t="s">
        <v>320</v>
      </c>
      <c r="C4" s="12" t="s">
        <v>34</v>
      </c>
      <c r="D4" s="12" t="s">
        <v>321</v>
      </c>
      <c r="E4" s="12" t="s">
        <v>80</v>
      </c>
      <c r="F4" s="12" t="s">
        <v>322</v>
      </c>
      <c r="G4" s="12" t="s">
        <v>323</v>
      </c>
    </row>
    <row r="5" spans="1:7" ht="30" customHeight="1" x14ac:dyDescent="0.35">
      <c r="A5" s="13" t="s">
        <v>324</v>
      </c>
      <c r="B5" s="14" t="s">
        <v>325</v>
      </c>
      <c r="C5" s="13" t="s">
        <v>36</v>
      </c>
      <c r="D5" s="13" t="s">
        <v>326</v>
      </c>
      <c r="E5" s="13" t="s">
        <v>87</v>
      </c>
      <c r="F5" s="14" t="s">
        <v>327</v>
      </c>
      <c r="G5" s="15" t="str">
        <f>TestCase!I2</f>
        <v>Pass</v>
      </c>
    </row>
    <row r="6" spans="1:7" ht="30" customHeight="1" x14ac:dyDescent="0.35">
      <c r="A6" s="13" t="s">
        <v>328</v>
      </c>
      <c r="B6" s="14" t="s">
        <v>329</v>
      </c>
      <c r="C6" s="13" t="s">
        <v>36</v>
      </c>
      <c r="D6" s="13" t="s">
        <v>330</v>
      </c>
      <c r="E6" s="13" t="s">
        <v>93</v>
      </c>
      <c r="F6" s="14" t="s">
        <v>331</v>
      </c>
      <c r="G6" s="15" t="str">
        <f>TestCase!I3</f>
        <v>Pass</v>
      </c>
    </row>
    <row r="7" spans="1:7" ht="30" customHeight="1" x14ac:dyDescent="0.35">
      <c r="A7" s="13" t="s">
        <v>328</v>
      </c>
      <c r="B7" s="14" t="s">
        <v>329</v>
      </c>
      <c r="C7" s="13" t="s">
        <v>36</v>
      </c>
      <c r="D7" s="13" t="s">
        <v>332</v>
      </c>
      <c r="E7" s="13" t="s">
        <v>98</v>
      </c>
      <c r="F7" s="14" t="s">
        <v>333</v>
      </c>
      <c r="G7" s="15" t="str">
        <f>TestCase!I4</f>
        <v>Pass</v>
      </c>
    </row>
    <row r="8" spans="1:7" ht="30" customHeight="1" x14ac:dyDescent="0.35">
      <c r="A8" s="13" t="s">
        <v>334</v>
      </c>
      <c r="B8" s="14" t="s">
        <v>335</v>
      </c>
      <c r="C8" s="13" t="s">
        <v>36</v>
      </c>
      <c r="D8" s="13" t="s">
        <v>336</v>
      </c>
      <c r="E8" s="13" t="s">
        <v>103</v>
      </c>
      <c r="F8" s="14" t="s">
        <v>337</v>
      </c>
      <c r="G8" s="15" t="str">
        <f>TestCase!I5</f>
        <v>Pass</v>
      </c>
    </row>
    <row r="9" spans="1:7" ht="30" customHeight="1" x14ac:dyDescent="0.35">
      <c r="A9" s="13" t="s">
        <v>338</v>
      </c>
      <c r="B9" s="14" t="s">
        <v>339</v>
      </c>
      <c r="C9" s="13" t="s">
        <v>36</v>
      </c>
      <c r="D9" s="13" t="s">
        <v>340</v>
      </c>
      <c r="E9" s="13" t="s">
        <v>108</v>
      </c>
      <c r="F9" s="14" t="s">
        <v>341</v>
      </c>
      <c r="G9" s="15" t="str">
        <f>TestCase!I6</f>
        <v>Pass</v>
      </c>
    </row>
    <row r="10" spans="1:7" ht="30" customHeight="1" x14ac:dyDescent="0.35">
      <c r="A10" s="13" t="s">
        <v>342</v>
      </c>
      <c r="B10" s="14" t="s">
        <v>343</v>
      </c>
      <c r="C10" s="13" t="s">
        <v>36</v>
      </c>
      <c r="D10" s="13" t="s">
        <v>344</v>
      </c>
      <c r="E10" s="13" t="s">
        <v>111</v>
      </c>
      <c r="F10" s="14" t="s">
        <v>345</v>
      </c>
      <c r="G10" s="15" t="str">
        <f>TestCase!I7</f>
        <v>Pass</v>
      </c>
    </row>
    <row r="11" spans="1:7" ht="30" customHeight="1" x14ac:dyDescent="0.35">
      <c r="A11" s="13" t="s">
        <v>346</v>
      </c>
      <c r="B11" s="14" t="s">
        <v>347</v>
      </c>
      <c r="C11" s="13" t="s">
        <v>36</v>
      </c>
      <c r="D11" s="13" t="s">
        <v>348</v>
      </c>
      <c r="E11" s="13" t="s">
        <v>116</v>
      </c>
      <c r="F11" s="14" t="s">
        <v>349</v>
      </c>
      <c r="G11" s="15" t="str">
        <f>TestCase!I8</f>
        <v>Pass</v>
      </c>
    </row>
    <row r="12" spans="1:7" ht="30" customHeight="1" x14ac:dyDescent="0.35">
      <c r="A12" s="13" t="s">
        <v>350</v>
      </c>
      <c r="B12" s="14" t="s">
        <v>351</v>
      </c>
      <c r="C12" s="13" t="s">
        <v>44</v>
      </c>
      <c r="D12" s="13" t="s">
        <v>352</v>
      </c>
      <c r="E12" s="13" t="s">
        <v>121</v>
      </c>
      <c r="F12" s="14" t="s">
        <v>353</v>
      </c>
      <c r="G12" s="15" t="str">
        <f>TestCase!I9</f>
        <v>Fail</v>
      </c>
    </row>
    <row r="13" spans="1:7" ht="30" customHeight="1" x14ac:dyDescent="0.35">
      <c r="A13" s="13" t="s">
        <v>354</v>
      </c>
      <c r="B13" s="14" t="s">
        <v>355</v>
      </c>
      <c r="C13" s="13" t="s">
        <v>44</v>
      </c>
      <c r="D13" s="13" t="s">
        <v>356</v>
      </c>
      <c r="E13" s="13" t="s">
        <v>128</v>
      </c>
      <c r="F13" s="14" t="s">
        <v>357</v>
      </c>
      <c r="G13" s="15" t="str">
        <f>TestCase!I10</f>
        <v>Fail</v>
      </c>
    </row>
    <row r="14" spans="1:7" ht="30" customHeight="1" x14ac:dyDescent="0.35">
      <c r="A14" s="13" t="s">
        <v>358</v>
      </c>
      <c r="B14" s="14" t="s">
        <v>359</v>
      </c>
      <c r="C14" s="13" t="s">
        <v>47</v>
      </c>
      <c r="D14" s="13" t="s">
        <v>360</v>
      </c>
      <c r="E14" s="13" t="s">
        <v>134</v>
      </c>
      <c r="F14" s="14" t="s">
        <v>361</v>
      </c>
      <c r="G14" s="15" t="str">
        <f>TestCase!I11</f>
        <v>Pass</v>
      </c>
    </row>
    <row r="15" spans="1:7" ht="30" customHeight="1" x14ac:dyDescent="0.35">
      <c r="A15" s="13" t="s">
        <v>362</v>
      </c>
      <c r="B15" s="14" t="s">
        <v>363</v>
      </c>
      <c r="C15" s="13" t="s">
        <v>47</v>
      </c>
      <c r="D15" s="13" t="s">
        <v>364</v>
      </c>
      <c r="E15" s="13" t="s">
        <v>138</v>
      </c>
      <c r="F15" s="14" t="s">
        <v>365</v>
      </c>
      <c r="G15" s="15" t="str">
        <f>TestCase!I12</f>
        <v>Pass</v>
      </c>
    </row>
    <row r="16" spans="1:7" ht="30" customHeight="1" x14ac:dyDescent="0.35">
      <c r="A16" s="13" t="s">
        <v>366</v>
      </c>
      <c r="B16" s="14" t="s">
        <v>367</v>
      </c>
      <c r="C16" s="13" t="s">
        <v>47</v>
      </c>
      <c r="D16" s="13" t="s">
        <v>368</v>
      </c>
      <c r="E16" s="13" t="s">
        <v>143</v>
      </c>
      <c r="F16" s="14" t="s">
        <v>369</v>
      </c>
      <c r="G16" s="15" t="str">
        <f>TestCase!I13</f>
        <v>Pass</v>
      </c>
    </row>
    <row r="17" spans="1:7" ht="30" customHeight="1" x14ac:dyDescent="0.35">
      <c r="A17" s="13" t="s">
        <v>370</v>
      </c>
      <c r="B17" s="14" t="s">
        <v>371</v>
      </c>
      <c r="C17" s="13" t="s">
        <v>47</v>
      </c>
      <c r="D17" s="13" t="s">
        <v>372</v>
      </c>
      <c r="E17" s="13" t="s">
        <v>148</v>
      </c>
      <c r="F17" s="14" t="s">
        <v>373</v>
      </c>
      <c r="G17" s="15" t="str">
        <f>TestCase!I14</f>
        <v>Pass</v>
      </c>
    </row>
    <row r="18" spans="1:7" ht="30" customHeight="1" x14ac:dyDescent="0.35">
      <c r="A18" s="13" t="s">
        <v>374</v>
      </c>
      <c r="B18" s="14" t="s">
        <v>375</v>
      </c>
      <c r="C18" s="13" t="s">
        <v>47</v>
      </c>
      <c r="D18" s="13" t="s">
        <v>376</v>
      </c>
      <c r="E18" s="13" t="s">
        <v>153</v>
      </c>
      <c r="F18" s="14" t="s">
        <v>377</v>
      </c>
      <c r="G18" s="15" t="str">
        <f>TestCase!I15</f>
        <v>Fail</v>
      </c>
    </row>
    <row r="19" spans="1:7" ht="30" customHeight="1" x14ac:dyDescent="0.35">
      <c r="A19" s="13" t="s">
        <v>378</v>
      </c>
      <c r="B19" s="14" t="s">
        <v>379</v>
      </c>
      <c r="C19" s="13" t="s">
        <v>47</v>
      </c>
      <c r="D19" s="13" t="s">
        <v>380</v>
      </c>
      <c r="E19" s="13" t="s">
        <v>159</v>
      </c>
      <c r="F19" s="14" t="s">
        <v>381</v>
      </c>
      <c r="G19" s="15" t="str">
        <f>TestCase!I16</f>
        <v>Fail</v>
      </c>
    </row>
    <row r="20" spans="1:7" ht="30" customHeight="1" x14ac:dyDescent="0.35">
      <c r="A20" s="13" t="s">
        <v>382</v>
      </c>
      <c r="B20" s="14" t="s">
        <v>383</v>
      </c>
      <c r="C20" s="13" t="s">
        <v>47</v>
      </c>
      <c r="D20" s="13" t="s">
        <v>384</v>
      </c>
      <c r="E20" s="13" t="s">
        <v>165</v>
      </c>
      <c r="F20" s="14" t="s">
        <v>385</v>
      </c>
      <c r="G20" s="15" t="str">
        <f>TestCase!I17</f>
        <v>Pass</v>
      </c>
    </row>
    <row r="21" spans="1:7" ht="30" customHeight="1" x14ac:dyDescent="0.35">
      <c r="A21" s="13" t="s">
        <v>386</v>
      </c>
      <c r="B21" s="14" t="s">
        <v>387</v>
      </c>
      <c r="C21" s="13" t="s">
        <v>47</v>
      </c>
      <c r="D21" s="13" t="s">
        <v>388</v>
      </c>
      <c r="E21" s="13" t="s">
        <v>170</v>
      </c>
      <c r="F21" s="14" t="s">
        <v>389</v>
      </c>
      <c r="G21" s="15" t="str">
        <f>TestCase!I18</f>
        <v>Pass</v>
      </c>
    </row>
    <row r="22" spans="1:7" ht="30" customHeight="1" x14ac:dyDescent="0.35">
      <c r="A22" s="13" t="s">
        <v>390</v>
      </c>
      <c r="B22" s="14" t="s">
        <v>391</v>
      </c>
      <c r="C22" s="13" t="s">
        <v>56</v>
      </c>
      <c r="D22" s="13" t="s">
        <v>392</v>
      </c>
      <c r="E22" s="13" t="s">
        <v>175</v>
      </c>
      <c r="F22" s="14" t="s">
        <v>393</v>
      </c>
      <c r="G22" s="15" t="str">
        <f>TestCase!I19</f>
        <v>Pass</v>
      </c>
    </row>
    <row r="23" spans="1:7" ht="30" customHeight="1" x14ac:dyDescent="0.35">
      <c r="A23" s="13" t="s">
        <v>394</v>
      </c>
      <c r="B23" s="14" t="s">
        <v>395</v>
      </c>
      <c r="C23" s="13" t="s">
        <v>56</v>
      </c>
      <c r="D23" s="13" t="s">
        <v>396</v>
      </c>
      <c r="E23" s="13" t="s">
        <v>179</v>
      </c>
      <c r="F23" s="14" t="s">
        <v>397</v>
      </c>
      <c r="G23" s="15" t="str">
        <f>TestCase!I20</f>
        <v>Pass</v>
      </c>
    </row>
    <row r="24" spans="1:7" ht="30" customHeight="1" x14ac:dyDescent="0.35">
      <c r="A24" s="13" t="s">
        <v>398</v>
      </c>
      <c r="B24" s="14" t="s">
        <v>399</v>
      </c>
      <c r="C24" s="13" t="s">
        <v>56</v>
      </c>
      <c r="D24" s="13" t="s">
        <v>400</v>
      </c>
      <c r="E24" s="13" t="s">
        <v>184</v>
      </c>
      <c r="F24" s="14" t="s">
        <v>401</v>
      </c>
      <c r="G24" s="15" t="str">
        <f>TestCase!I21</f>
        <v>Pass</v>
      </c>
    </row>
    <row r="25" spans="1:7" ht="30" customHeight="1" x14ac:dyDescent="0.35">
      <c r="A25" s="13" t="s">
        <v>402</v>
      </c>
      <c r="B25" s="14" t="s">
        <v>403</v>
      </c>
      <c r="C25" s="13" t="s">
        <v>60</v>
      </c>
      <c r="D25" s="13" t="s">
        <v>404</v>
      </c>
      <c r="E25" s="13" t="s">
        <v>189</v>
      </c>
      <c r="F25" s="14" t="s">
        <v>405</v>
      </c>
      <c r="G25" s="15" t="str">
        <f>TestCase!I22</f>
        <v>Pass</v>
      </c>
    </row>
    <row r="26" spans="1:7" ht="30" customHeight="1" x14ac:dyDescent="0.35">
      <c r="A26" s="13" t="s">
        <v>406</v>
      </c>
      <c r="B26" s="14" t="s">
        <v>407</v>
      </c>
      <c r="C26" s="13" t="s">
        <v>60</v>
      </c>
      <c r="D26" s="13" t="s">
        <v>408</v>
      </c>
      <c r="E26" s="13" t="s">
        <v>193</v>
      </c>
      <c r="F26" s="14" t="s">
        <v>409</v>
      </c>
      <c r="G26" s="15" t="str">
        <f>TestCase!I23</f>
        <v>Pass</v>
      </c>
    </row>
    <row r="27" spans="1:7" ht="30" customHeight="1" x14ac:dyDescent="0.35">
      <c r="A27" s="13" t="s">
        <v>410</v>
      </c>
      <c r="B27" s="14" t="s">
        <v>411</v>
      </c>
      <c r="C27" s="13" t="s">
        <v>60</v>
      </c>
      <c r="D27" s="13" t="s">
        <v>412</v>
      </c>
      <c r="E27" s="13" t="s">
        <v>198</v>
      </c>
      <c r="F27" s="14" t="s">
        <v>413</v>
      </c>
      <c r="G27" s="15" t="str">
        <f>TestCase!I24</f>
        <v>Pass</v>
      </c>
    </row>
    <row r="28" spans="1:7" ht="30" customHeight="1" x14ac:dyDescent="0.35">
      <c r="A28" s="13" t="s">
        <v>410</v>
      </c>
      <c r="B28" s="14" t="s">
        <v>411</v>
      </c>
      <c r="C28" s="13" t="s">
        <v>60</v>
      </c>
      <c r="D28" s="13" t="s">
        <v>414</v>
      </c>
      <c r="E28" s="13" t="s">
        <v>203</v>
      </c>
      <c r="F28" s="14" t="s">
        <v>415</v>
      </c>
      <c r="G28" s="15" t="str">
        <f>TestCase!I25</f>
        <v>Pass</v>
      </c>
    </row>
    <row r="29" spans="1:7" ht="30" customHeight="1" x14ac:dyDescent="0.35">
      <c r="A29" s="13" t="s">
        <v>410</v>
      </c>
      <c r="B29" s="14" t="s">
        <v>411</v>
      </c>
      <c r="C29" s="13" t="s">
        <v>60</v>
      </c>
      <c r="D29" s="13" t="s">
        <v>416</v>
      </c>
      <c r="E29" s="13" t="s">
        <v>208</v>
      </c>
      <c r="F29" s="14" t="s">
        <v>417</v>
      </c>
      <c r="G29" s="15" t="str">
        <f>TestCase!I26</f>
        <v>Pass</v>
      </c>
    </row>
    <row r="30" spans="1:7" ht="30" customHeight="1" x14ac:dyDescent="0.35">
      <c r="A30" s="13" t="s">
        <v>410</v>
      </c>
      <c r="B30" s="14" t="s">
        <v>411</v>
      </c>
      <c r="C30" s="13" t="s">
        <v>60</v>
      </c>
      <c r="D30" s="13" t="s">
        <v>418</v>
      </c>
      <c r="E30" s="13" t="s">
        <v>213</v>
      </c>
      <c r="F30" s="14" t="s">
        <v>419</v>
      </c>
      <c r="G30" s="15" t="str">
        <f>TestCase!I27</f>
        <v>Pass</v>
      </c>
    </row>
    <row r="31" spans="1:7" ht="30" customHeight="1" x14ac:dyDescent="0.35">
      <c r="A31" s="13" t="s">
        <v>410</v>
      </c>
      <c r="B31" s="14" t="s">
        <v>411</v>
      </c>
      <c r="C31" s="13" t="s">
        <v>60</v>
      </c>
      <c r="D31" s="13" t="s">
        <v>420</v>
      </c>
      <c r="E31" s="13" t="s">
        <v>218</v>
      </c>
      <c r="F31" s="14" t="s">
        <v>421</v>
      </c>
      <c r="G31" s="15" t="str">
        <f>TestCase!I28</f>
        <v>Pass</v>
      </c>
    </row>
    <row r="32" spans="1:7" ht="30" customHeight="1" x14ac:dyDescent="0.35">
      <c r="A32" s="13" t="s">
        <v>410</v>
      </c>
      <c r="B32" s="14" t="s">
        <v>411</v>
      </c>
      <c r="C32" s="13" t="s">
        <v>60</v>
      </c>
      <c r="D32" s="13" t="s">
        <v>422</v>
      </c>
      <c r="E32" s="13" t="s">
        <v>223</v>
      </c>
      <c r="F32" s="14" t="s">
        <v>423</v>
      </c>
      <c r="G32" s="15" t="str">
        <f>TestCase!I29</f>
        <v>Pass</v>
      </c>
    </row>
    <row r="33" spans="1:7" ht="30" customHeight="1" x14ac:dyDescent="0.35">
      <c r="A33" s="13" t="s">
        <v>424</v>
      </c>
      <c r="B33" s="14" t="s">
        <v>425</v>
      </c>
      <c r="C33" s="13" t="s">
        <v>60</v>
      </c>
      <c r="D33" s="13" t="s">
        <v>426</v>
      </c>
      <c r="E33" s="13" t="s">
        <v>228</v>
      </c>
      <c r="F33" s="14" t="s">
        <v>427</v>
      </c>
      <c r="G33" s="15" t="str">
        <f>TestCase!I30</f>
        <v>Pass</v>
      </c>
    </row>
    <row r="34" spans="1:7" ht="30" customHeight="1" x14ac:dyDescent="0.35">
      <c r="A34" s="13" t="s">
        <v>428</v>
      </c>
      <c r="B34" s="14" t="s">
        <v>429</v>
      </c>
      <c r="C34" s="13" t="s">
        <v>70</v>
      </c>
      <c r="D34" s="13" t="s">
        <v>430</v>
      </c>
      <c r="E34" s="13" t="s">
        <v>232</v>
      </c>
      <c r="F34" s="14" t="s">
        <v>431</v>
      </c>
      <c r="G34" s="15" t="str">
        <f>TestCase!I31</f>
        <v>Pass</v>
      </c>
    </row>
    <row r="35" spans="1:7" ht="30" customHeight="1" x14ac:dyDescent="0.35">
      <c r="A35" s="13" t="s">
        <v>432</v>
      </c>
      <c r="B35" s="14" t="s">
        <v>433</v>
      </c>
      <c r="C35" s="13" t="s">
        <v>70</v>
      </c>
      <c r="D35" s="13" t="s">
        <v>434</v>
      </c>
      <c r="E35" s="13" t="s">
        <v>237</v>
      </c>
      <c r="F35" s="14" t="s">
        <v>435</v>
      </c>
      <c r="G35" s="15" t="str">
        <f>TestCase!I32</f>
        <v>Fail</v>
      </c>
    </row>
    <row r="36" spans="1:7" ht="30" customHeight="1" x14ac:dyDescent="0.35">
      <c r="A36" s="13" t="s">
        <v>436</v>
      </c>
      <c r="B36" s="14" t="s">
        <v>437</v>
      </c>
      <c r="C36" s="13" t="s">
        <v>73</v>
      </c>
      <c r="D36" s="13" t="s">
        <v>438</v>
      </c>
      <c r="E36" s="13" t="s">
        <v>242</v>
      </c>
      <c r="F36" s="14" t="s">
        <v>439</v>
      </c>
      <c r="G36" s="15" t="str">
        <f>TestCase!I33</f>
        <v>Pass</v>
      </c>
    </row>
    <row r="37" spans="1:7" ht="30" customHeight="1" x14ac:dyDescent="0.35">
      <c r="A37" s="13" t="s">
        <v>440</v>
      </c>
      <c r="B37" s="14" t="s">
        <v>441</v>
      </c>
      <c r="C37" s="13" t="s">
        <v>73</v>
      </c>
      <c r="D37" s="13" t="s">
        <v>442</v>
      </c>
      <c r="E37" s="13" t="s">
        <v>247</v>
      </c>
      <c r="F37" s="14" t="s">
        <v>443</v>
      </c>
      <c r="G37" s="15" t="str">
        <f>TestCase!I34</f>
        <v>Pass</v>
      </c>
    </row>
    <row r="38" spans="1:7" ht="30" customHeight="1" x14ac:dyDescent="0.35">
      <c r="A38" s="13" t="s">
        <v>444</v>
      </c>
      <c r="B38" s="14" t="s">
        <v>445</v>
      </c>
      <c r="C38" s="13" t="s">
        <v>73</v>
      </c>
      <c r="D38" s="13" t="s">
        <v>446</v>
      </c>
      <c r="E38" s="13" t="s">
        <v>251</v>
      </c>
      <c r="F38" s="14" t="s">
        <v>447</v>
      </c>
      <c r="G38" s="15" t="str">
        <f>TestCase!I35</f>
        <v>Fail</v>
      </c>
    </row>
    <row r="39" spans="1:7" ht="30" customHeight="1" x14ac:dyDescent="0.35">
      <c r="A39" s="13" t="s">
        <v>448</v>
      </c>
      <c r="B39" s="14" t="s">
        <v>449</v>
      </c>
      <c r="C39" s="13" t="s">
        <v>77</v>
      </c>
      <c r="D39" s="13" t="s">
        <v>450</v>
      </c>
      <c r="E39" s="13" t="s">
        <v>256</v>
      </c>
      <c r="F39" s="14" t="s">
        <v>451</v>
      </c>
      <c r="G39" s="15" t="str">
        <f>TestCase!I36</f>
        <v>Pass</v>
      </c>
    </row>
    <row r="40" spans="1:7" ht="30" customHeight="1" x14ac:dyDescent="0.35">
      <c r="A40" s="13" t="s">
        <v>452</v>
      </c>
      <c r="B40" s="14" t="s">
        <v>453</v>
      </c>
      <c r="C40" s="13" t="s">
        <v>77</v>
      </c>
      <c r="D40" s="13" t="s">
        <v>454</v>
      </c>
      <c r="E40" s="13" t="s">
        <v>260</v>
      </c>
      <c r="F40" s="14" t="s">
        <v>455</v>
      </c>
      <c r="G40" s="15" t="str">
        <f>TestCase!I37</f>
        <v>Pass</v>
      </c>
    </row>
    <row r="42" spans="1:7" ht="15" customHeight="1" x14ac:dyDescent="0.35">
      <c r="A42" s="2" t="s">
        <v>304</v>
      </c>
      <c r="B42" s="2"/>
      <c r="C42" s="2"/>
    </row>
    <row r="43" spans="1:7" ht="15" customHeight="1" x14ac:dyDescent="0.35">
      <c r="A43" s="1" t="s">
        <v>306</v>
      </c>
      <c r="B43" s="1"/>
      <c r="C43" s="16">
        <f>COUNTA(E5:E40)</f>
        <v>36</v>
      </c>
    </row>
    <row r="44" spans="1:7" ht="15" customHeight="1" x14ac:dyDescent="0.35">
      <c r="A44" s="1" t="s">
        <v>301</v>
      </c>
      <c r="B44" s="1"/>
      <c r="C44" s="16">
        <f>COUNTIF(G5:G40,"Pass")</f>
        <v>30</v>
      </c>
    </row>
    <row r="45" spans="1:7" ht="15" customHeight="1" x14ac:dyDescent="0.35">
      <c r="A45" s="1" t="s">
        <v>302</v>
      </c>
      <c r="B45" s="1"/>
      <c r="C45" s="16">
        <f>COUNTIF(G5:G40,"Fail")</f>
        <v>6</v>
      </c>
    </row>
  </sheetData>
  <mergeCells count="6">
    <mergeCell ref="A45:B45"/>
    <mergeCell ref="A1:G1"/>
    <mergeCell ref="A2:G2"/>
    <mergeCell ref="A42:C42"/>
    <mergeCell ref="A43:B43"/>
    <mergeCell ref="A44:B44"/>
  </mergeCells>
  <conditionalFormatting sqref="G5:G40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Jasbinder Dhingi</cp:lastModifiedBy>
  <cp:revision>0</cp:revision>
  <dcterms:created xsi:type="dcterms:W3CDTF">2026-10-06T18:04:44Z</dcterms:created>
  <dcterms:modified xsi:type="dcterms:W3CDTF">2026-10-06T18:07:42Z</dcterms:modified>
  <dc:language>en-US</dc:language>
</cp:coreProperties>
</file>